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1207"/>
  <workbookPr updateLinks="always" codeName="ThisWorkbook" defaultThemeVersion="124226"/>
  <mc:AlternateContent xmlns:mc="http://schemas.openxmlformats.org/markup-compatibility/2006">
    <mc:Choice Requires="x15">
      <x15ac:absPath xmlns:x15ac="http://schemas.microsoft.com/office/spreadsheetml/2010/11/ac" url="/Users/ms84/Research/postdoc/projects/PrimateSomatic/10_admin/grants/NIH/"/>
    </mc:Choice>
  </mc:AlternateContent>
  <xr:revisionPtr revIDLastSave="0" documentId="8_{977573FF-1FF4-7842-AF96-0926B4241C9F}" xr6:coauthVersionLast="47" xr6:coauthVersionMax="47" xr10:uidLastSave="{00000000-0000-0000-0000-000000000000}"/>
  <bookViews>
    <workbookView xWindow="3280" yWindow="-26680" windowWidth="38400" windowHeight="23920" xr2:uid="{00000000-000D-0000-FFFF-FFFF00000000}"/>
  </bookViews>
  <sheets>
    <sheet name="Declaration - Research Grants" sheetId="24" r:id="rId1"/>
    <sheet name="List" sheetId="2" r:id="rId2"/>
  </sheets>
  <definedNames>
    <definedName name="CATEGORY">List!$G$2:$G$9</definedName>
    <definedName name="CONTRACT_BASIS" localSheetId="0">'Declaration - Research Grants'!$K$34</definedName>
    <definedName name="CONTRACT_BASIS">#REF!</definedName>
    <definedName name="CONTRACTED_HOURS" localSheetId="0">'Declaration - Research Grants'!$P$36</definedName>
    <definedName name="CONTRACTED_HOURS">#REF!</definedName>
    <definedName name="CRSID" localSheetId="0">'Declaration - Research Grants'!$E$36</definedName>
    <definedName name="CRSID">#REF!</definedName>
    <definedName name="EMPLOYEE_NAME" localSheetId="0">'Declaration - Research Grants'!$E$34</definedName>
    <definedName name="EMPLOYEE_NAME">#REF!</definedName>
    <definedName name="EU_FUNDERS">List!$M$2:$M$6</definedName>
    <definedName name="EU_HOUR_RATE">#REF!</definedName>
    <definedName name="HOURS">List!$E$2:$E$8</definedName>
    <definedName name="LEAVE">List!$I$2:$I$9</definedName>
    <definedName name="MANAGER" localSheetId="0">'Declaration - Research Grants'!$E$40</definedName>
    <definedName name="MANAGER">#REF!</definedName>
    <definedName name="Month">List!$B$2:$B$14</definedName>
    <definedName name="NON_PROJECT_HOURS">List!$H$2:$H$8</definedName>
    <definedName name="NON_PROJECT_WORK">List!$H$2:$H$8</definedName>
    <definedName name="Non_RC_Total">#REF!</definedName>
    <definedName name="OTHER_FUNDERS">List!$O$2:$O$29</definedName>
    <definedName name="PERCENT_FTE" localSheetId="0">'Declaration - Research Grants'!$K$36</definedName>
    <definedName name="PERCENT_FTE">#REF!</definedName>
    <definedName name="POST" localSheetId="0">'Declaration - Research Grants'!$E$38</definedName>
    <definedName name="POST">#REF!</definedName>
    <definedName name="_xlnm.Print_Area" localSheetId="0">'Declaration - Research Grants'!$B$24:$R$87</definedName>
    <definedName name="RC_Total">#REF!</definedName>
    <definedName name="ROLE">List!$F$2:$F$11</definedName>
    <definedName name="TASK">List!$K$2:$K$7</definedName>
    <definedName name="Total_Hours">#REF!</definedName>
    <definedName name="TS_START_MONTH" localSheetId="0">'Declaration - Research Grants'!$K$37</definedName>
    <definedName name="TS_START_MONTH">#REF!</definedName>
    <definedName name="TS_YEAR_START" localSheetId="0">'Declaration - Research Grants'!$K$40</definedName>
    <definedName name="TS_YEAR_START">#REF!</definedName>
    <definedName name="UKRI">List!$L$2:$L$13</definedName>
    <definedName name="UKRI_HOUR_RATE">#REF!</definedName>
    <definedName name="USFED">List!$N$2:$N$7</definedName>
    <definedName name="WP">List!$J$2:$J$45</definedName>
    <definedName name="Year">List!$C$2:$C$14</definedName>
  </definedNames>
  <calcPr calcId="191028"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6" i="24" l="1"/>
  <c r="J27" i="24" l="1"/>
  <c r="E53" i="24" l="1"/>
  <c r="D13" i="24" l="1"/>
  <c r="L13" i="24"/>
  <c r="J13" i="24"/>
  <c r="F13" i="24"/>
  <c r="M74" i="24" s="1"/>
  <c r="F27" i="24"/>
  <c r="C53" i="24"/>
  <c r="E83" i="24"/>
</calcChain>
</file>

<file path=xl/sharedStrings.xml><?xml version="1.0" encoding="utf-8"?>
<sst xmlns="http://schemas.openxmlformats.org/spreadsheetml/2006/main" count="297" uniqueCount="250">
  <si>
    <t>Guidance on how to use this form can be found in the purple section to the right</t>
  </si>
  <si>
    <t>Guidance</t>
  </si>
  <si>
    <t>Why do I need to complete the form?</t>
  </si>
  <si>
    <t>Type of Declaration – use drop down menus which will pull through your choices into the form below</t>
  </si>
  <si>
    <r>
      <rPr>
        <b/>
        <sz val="14"/>
        <color theme="0"/>
        <rFont val="Arial"/>
        <family val="2"/>
      </rPr>
      <t>Declaration Requirements:</t>
    </r>
    <r>
      <rPr>
        <sz val="14"/>
        <color theme="0"/>
        <rFont val="Arial"/>
        <family val="2"/>
      </rPr>
      <t xml:space="preserve">
</t>
    </r>
    <r>
      <rPr>
        <b/>
        <sz val="14"/>
        <color theme="0"/>
        <rFont val="Arial"/>
        <family val="2"/>
      </rPr>
      <t>UKRI</t>
    </r>
    <r>
      <rPr>
        <sz val="14"/>
        <color theme="0"/>
        <rFont val="Arial"/>
        <family val="2"/>
      </rPr>
      <t xml:space="preserve"> - Declarations are required for all DI staff when working exclusively on the grant but where their salary is funded through multiple sources of funding.
</t>
    </r>
    <r>
      <rPr>
        <b/>
        <sz val="14"/>
        <color theme="0"/>
        <rFont val="Arial"/>
        <family val="2"/>
      </rPr>
      <t xml:space="preserve">UKRI Block Grants </t>
    </r>
    <r>
      <rPr>
        <sz val="14"/>
        <color theme="0"/>
        <rFont val="Arial"/>
        <family val="2"/>
      </rPr>
      <t xml:space="preserve">- Use declaration when required for Doctoral Training Partnership grant (DTP), Open Access block grant (OA), Impact Acceleration Accounts (IAA), Centre for Doctoral Training grant (CDT)
</t>
    </r>
    <r>
      <rPr>
        <b/>
        <sz val="14"/>
        <color theme="0"/>
        <rFont val="Arial"/>
        <family val="2"/>
      </rPr>
      <t xml:space="preserve">Innovate UK </t>
    </r>
    <r>
      <rPr>
        <sz val="14"/>
        <color theme="0"/>
        <rFont val="Arial"/>
        <family val="2"/>
      </rPr>
      <t xml:space="preserve">- Declarations are required for DI staff for entire reporting period of the grant, also for DA staff (e.g. pooled labour/PI/CoI) for the percentage of hours worked on the grant.
</t>
    </r>
    <r>
      <rPr>
        <b/>
        <sz val="14"/>
        <color theme="0"/>
        <rFont val="Arial"/>
        <family val="2"/>
      </rPr>
      <t xml:space="preserve">HE Underwritten (UKRI or IUK) or Horizon Europe </t>
    </r>
    <r>
      <rPr>
        <sz val="14"/>
        <color theme="0"/>
        <rFont val="Arial"/>
        <family val="2"/>
      </rPr>
      <t xml:space="preserve">declaration can be made monthly for the number of days worked on the action.
</t>
    </r>
    <r>
      <rPr>
        <b/>
        <sz val="14"/>
        <color theme="0"/>
        <rFont val="Arial"/>
        <family val="2"/>
      </rPr>
      <t>EU</t>
    </r>
    <r>
      <rPr>
        <sz val="14"/>
        <color theme="0"/>
        <rFont val="Arial"/>
        <family val="2"/>
      </rPr>
      <t xml:space="preserve"> - People working 100% on an EC project (Marie Sklodowska-Curie fellows and other 100% staff) must complete a Declaration of Exclusivity at the end of each reporting period.  
Only one declaration reflecting an uninterrupted period is accepted per reporting period per person.
Note that if an employee has sick leave which amounts to more than half of the month in any one month, you must complete the declaration up to the start of that month only and complete timesheets for the remainder of the period.  Otherwise, the whole month salary will be deemed ineligible.</t>
    </r>
  </si>
  <si>
    <t xml:space="preserve">Select details for Declaration Type: </t>
  </si>
  <si>
    <t>Select Funder</t>
  </si>
  <si>
    <t xml:space="preserve">Select Directly Incurred (DI) </t>
  </si>
  <si>
    <t>Period of declaration</t>
  </si>
  <si>
    <t>Approval method</t>
  </si>
  <si>
    <t xml:space="preserve">      or Directly Allocated (DA)</t>
  </si>
  <si>
    <t>EU</t>
  </si>
  <si>
    <t>HE</t>
  </si>
  <si>
    <t>Partial reporting period</t>
  </si>
  <si>
    <t>Approve via MS Form</t>
  </si>
  <si>
    <t>(or HE for Horizon Europe Monthly Declaration)</t>
  </si>
  <si>
    <t>If Other, enter funder name/type here:</t>
  </si>
  <si>
    <t>FUNDER</t>
  </si>
  <si>
    <t>STAFF TYPE</t>
  </si>
  <si>
    <t>PERIOD OF DECLARATION</t>
  </si>
  <si>
    <t>APPROVAL</t>
  </si>
  <si>
    <r>
      <rPr>
        <b/>
        <sz val="14"/>
        <color theme="0"/>
        <rFont val="Arial"/>
        <family val="2"/>
      </rPr>
      <t xml:space="preserve">Select the details of the type of declaration required from the drop down boxes across the top:
</t>
    </r>
    <r>
      <rPr>
        <sz val="14"/>
        <color theme="0"/>
        <rFont val="Arial"/>
        <family val="2"/>
      </rPr>
      <t xml:space="preserve">
</t>
    </r>
    <r>
      <rPr>
        <b/>
        <sz val="14"/>
        <color theme="0"/>
        <rFont val="Arial"/>
        <family val="2"/>
      </rPr>
      <t>Select Funder -</t>
    </r>
    <r>
      <rPr>
        <sz val="14"/>
        <color theme="0"/>
        <rFont val="Arial"/>
        <family val="2"/>
      </rPr>
      <t xml:space="preserve"> If Other is entered, then enter funder type in the box below
</t>
    </r>
    <r>
      <rPr>
        <b/>
        <sz val="14"/>
        <color theme="0"/>
        <rFont val="Arial"/>
        <family val="2"/>
      </rPr>
      <t xml:space="preserve">Select Directly Incurred (DI) or Directly Allocated (DA) </t>
    </r>
    <r>
      <rPr>
        <sz val="14"/>
        <color theme="0"/>
        <rFont val="Arial"/>
        <family val="2"/>
      </rPr>
      <t xml:space="preserve">for the staff member on the declaration, or </t>
    </r>
    <r>
      <rPr>
        <b/>
        <sz val="14"/>
        <color theme="0"/>
        <rFont val="Arial"/>
        <family val="2"/>
      </rPr>
      <t>HE for Horizon Europe or HE underwritten</t>
    </r>
    <r>
      <rPr>
        <sz val="14"/>
        <color theme="0"/>
        <rFont val="Arial"/>
        <family val="2"/>
      </rPr>
      <t xml:space="preserve"> monthly declaration.
</t>
    </r>
    <r>
      <rPr>
        <b/>
        <sz val="14"/>
        <color theme="0"/>
        <rFont val="Arial"/>
        <family val="2"/>
      </rPr>
      <t xml:space="preserve">Period of declaration </t>
    </r>
    <r>
      <rPr>
        <sz val="14"/>
        <color theme="0"/>
        <rFont val="Arial"/>
        <family val="2"/>
      </rPr>
      <t xml:space="preserve">- select whether the declaration will cover the whole reporting period or only part of the reporting period (if the employee has only worked for part of the reporting time period on the grant).  For HE select Partial reporting period
</t>
    </r>
    <r>
      <rPr>
        <b/>
        <sz val="14"/>
        <color theme="0"/>
        <rFont val="Arial"/>
        <family val="2"/>
      </rPr>
      <t>Select approval method</t>
    </r>
    <r>
      <rPr>
        <sz val="14"/>
        <color theme="0"/>
        <rFont val="Arial"/>
        <family val="2"/>
      </rPr>
      <t xml:space="preserve"> which will be used to sign the declaration  - electronic approval via the MS form, or print to pdf and hand/jpeg signatures</t>
    </r>
  </si>
  <si>
    <t>DI</t>
  </si>
  <si>
    <t>Exclusivity</t>
  </si>
  <si>
    <t>Whole reporting period</t>
  </si>
  <si>
    <t>Print to pdf then Sign</t>
  </si>
  <si>
    <t>UKRI</t>
  </si>
  <si>
    <t>DA</t>
  </si>
  <si>
    <t>% Annual Working Hours</t>
  </si>
  <si>
    <t>UKRI Block Grant</t>
  </si>
  <si>
    <t>Days Worked on a Project</t>
  </si>
  <si>
    <t>Innovate UK</t>
  </si>
  <si>
    <t>US Federal</t>
  </si>
  <si>
    <t>Other</t>
  </si>
  <si>
    <t>Box below with declaration will print</t>
  </si>
  <si>
    <t>Declaration of</t>
  </si>
  <si>
    <t xml:space="preserve">Funder: </t>
  </si>
  <si>
    <t>Staff Type:</t>
  </si>
  <si>
    <t>Employee details</t>
  </si>
  <si>
    <t>Enter employee details and Supervisor/Line Manger name in the boxes on the left.</t>
  </si>
  <si>
    <t>Employee name:</t>
  </si>
  <si>
    <t xml:space="preserve">Block grant type: </t>
  </si>
  <si>
    <t>Select the Block Grant type</t>
  </si>
  <si>
    <t>CRSID:</t>
  </si>
  <si>
    <t>Percentage of annual standard working hours on project:</t>
  </si>
  <si>
    <t xml:space="preserve">Percentage of annual standard working hours on project: This is the percentage of their contracted hours that they worked on the project, e.g. someone working part time at 0.80 FTE where their time is split equally between two projects should enter 50% here. </t>
  </si>
  <si>
    <t>Post type:</t>
  </si>
  <si>
    <t>Supervisor or manager name:</t>
  </si>
  <si>
    <t>Action</t>
  </si>
  <si>
    <t>Funder Type</t>
  </si>
  <si>
    <t>Funder name</t>
  </si>
  <si>
    <t>Funder reference</t>
  </si>
  <si>
    <t>Project acronym or short name</t>
  </si>
  <si>
    <t>CUFS project code</t>
  </si>
  <si>
    <t>G number</t>
  </si>
  <si>
    <t xml:space="preserve">Enter the details for the funder and project. The boxes visible will be determined by your funder type selections above.
If the funder name is not in the drop down - please type name.
Funder reference is the number or code issued by the funder to identify a grant.  
The Project acronym or short name is how you refer to the project.  
The CUFS Project Code is the code used by your department for cost bookings.  
The Grant Reference or G numbers are issued by ROO in the format RGXXXXX or GXXXXXX and can be found on Research Office correspondence about the grant. 
</t>
  </si>
  <si>
    <t>- Select UKRI funder -</t>
  </si>
  <si>
    <t>EU Horizon Europe</t>
  </si>
  <si>
    <t>Select or Enter US federal funder</t>
  </si>
  <si>
    <r>
      <t>Beneficiary’s/ linked third party’s name</t>
    </r>
    <r>
      <rPr>
        <sz val="14"/>
        <color theme="1"/>
        <rFont val="Times New Roman"/>
        <family val="1"/>
      </rPr>
      <t xml:space="preserve"> </t>
    </r>
  </si>
  <si>
    <t>The Chancellor, Masters, and Scholars of the University of Cambridge</t>
  </si>
  <si>
    <t xml:space="preserve">Time period </t>
  </si>
  <si>
    <r>
      <rPr>
        <b/>
        <sz val="14"/>
        <color theme="1"/>
        <rFont val="Calibri"/>
        <family val="2"/>
        <scheme val="minor"/>
      </rPr>
      <t>From</t>
    </r>
    <r>
      <rPr>
        <sz val="14"/>
        <color theme="1"/>
        <rFont val="Calibri"/>
        <family val="2"/>
        <scheme val="minor"/>
      </rPr>
      <t>:
(Date DD/MM/YYYY)</t>
    </r>
  </si>
  <si>
    <r>
      <rPr>
        <b/>
        <sz val="14"/>
        <color theme="1"/>
        <rFont val="Calibri"/>
        <family val="2"/>
        <scheme val="minor"/>
      </rPr>
      <t>To</t>
    </r>
    <r>
      <rPr>
        <sz val="14"/>
        <color theme="1"/>
        <rFont val="Calibri"/>
        <family val="2"/>
        <scheme val="minor"/>
      </rPr>
      <t>:
(Date DD/MM/YYYY)</t>
    </r>
  </si>
  <si>
    <t xml:space="preserve">Reporting Period Number </t>
  </si>
  <si>
    <t>The Time Period which can be covered by a declaration varies with funder.
E.g. UKRI would be 12 months starting at each anniversary of the award start date.  EU H2020 is usually every 18 months.</t>
  </si>
  <si>
    <t>For EU: Only one declaration reflecting an uninterrupted period is accepted per reporting period for each person.</t>
  </si>
  <si>
    <t>Period covered by this declaration ( when period worked on the grant is part of the time period above)</t>
  </si>
  <si>
    <t>As the reporting period can fall outside an individual’s employment at the Department/University, a Declaration should be completed before the individual's departure and cover the partial period up to their leaving date.</t>
  </si>
  <si>
    <t>Period covered by this declaration (This will appear if Partial Reporting Period is selected above) 
- The partial time period worked on the grant must cover at least one full natural month.
- For HE grants, this must be a one month period, a declaration must be signed for each calendar month</t>
  </si>
  <si>
    <t>Declaration</t>
  </si>
  <si>
    <t>This document certifies that the employee named above, has worked 100% of their contracted hours for the University of Cambridge on the above-mentioned project during the time period specified above.</t>
  </si>
  <si>
    <t>This document certifies that the employee specified above has worked for the specified percentage of their contracted hours  for the University of Cambridge on the above-mentioned project during the time period specified above.</t>
  </si>
  <si>
    <t>This document certifies that the stated employee worked the number of days indicated below on the project within the time period specified.</t>
  </si>
  <si>
    <t>Short description of the activities carried out during the period covered by this declaration:</t>
  </si>
  <si>
    <t xml:space="preserve">Short Description of the Work (for EU)
Reference: Enter one line in the table per Workpackage worked on e.g. WP1, WP2, WP3 etc (Alt+Enter to put line break in cell)
Activities: The description of activities for each Workpackage must be meaningful and sufficiently detailed </t>
  </si>
  <si>
    <t>Reference 
(e.g. Workpackage)</t>
  </si>
  <si>
    <t>Activities</t>
  </si>
  <si>
    <t>Person Months: Enter the total Person Months per Workpackage. One person month is defined as 143.3 (1720/12) hours.
Please see the Research Operations Office website for further guidance.</t>
  </si>
  <si>
    <t>For HE: Days worked in the month -  Enter the total days per Workpackage. 1 day = number of hours that a full-time employee of the participant has to work in a standard day (e.g. 8 hours)
Please see the Research Operations Office website for further guidance.</t>
  </si>
  <si>
    <t>This document will be submitted and approved electronically via the MS Form: There is no requirement to sign, electronic record of approval will be available in the log.</t>
  </si>
  <si>
    <t>Link to submission form:</t>
  </si>
  <si>
    <t>Employee signature</t>
  </si>
  <si>
    <t>Date</t>
  </si>
  <si>
    <t>Timesheet Submission Form</t>
  </si>
  <si>
    <t>Approver name</t>
  </si>
  <si>
    <t>(Line manager or supervisor)</t>
  </si>
  <si>
    <t>Approver signature</t>
  </si>
  <si>
    <t>- Select work type -</t>
  </si>
  <si>
    <t xml:space="preserve">MONTH </t>
  </si>
  <si>
    <t>YEAR</t>
  </si>
  <si>
    <t>NEXT MONTH</t>
  </si>
  <si>
    <t>Working hour basis</t>
  </si>
  <si>
    <t>Role title</t>
  </si>
  <si>
    <t>Category</t>
  </si>
  <si>
    <t>Non-project work</t>
  </si>
  <si>
    <t>Leave</t>
  </si>
  <si>
    <t>Workpackage</t>
  </si>
  <si>
    <t>Task</t>
  </si>
  <si>
    <t>UKRI funders</t>
  </si>
  <si>
    <t>EU funders</t>
  </si>
  <si>
    <t>US federal funders</t>
  </si>
  <si>
    <t>Other funder</t>
  </si>
  <si>
    <t>Block Grant Type</t>
  </si>
  <si>
    <t>Declaration funder</t>
  </si>
  <si>
    <t>- Select month -</t>
  </si>
  <si>
    <t>- Select year -</t>
  </si>
  <si>
    <t>- Select working hour basis -</t>
  </si>
  <si>
    <t>- Select your role -</t>
  </si>
  <si>
    <t>- Select category -</t>
  </si>
  <si>
    <t>- Select type of leave -</t>
  </si>
  <si>
    <t>- Select or enter -</t>
  </si>
  <si>
    <t>- Select or enter task -</t>
  </si>
  <si>
    <t>- Select EU funder -</t>
  </si>
  <si>
    <t>Select or Enter other funder</t>
  </si>
  <si>
    <t>Select or Enter Grant Type</t>
  </si>
  <si>
    <t>Print/pdf then Sign</t>
  </si>
  <si>
    <t>January</t>
  </si>
  <si>
    <t>February</t>
  </si>
  <si>
    <t>Principle Investigator</t>
  </si>
  <si>
    <t>RTD</t>
  </si>
  <si>
    <t>Training course</t>
  </si>
  <si>
    <t>Annual leave</t>
  </si>
  <si>
    <t>WP0</t>
  </si>
  <si>
    <t>AHRC</t>
  </si>
  <si>
    <t>EU H2020</t>
  </si>
  <si>
    <t>NIH</t>
  </si>
  <si>
    <t>WELLCOME TRUST</t>
  </si>
  <si>
    <t>Doctoral Training Partnership grant (DTP)</t>
  </si>
  <si>
    <t>Horizon Europe</t>
  </si>
  <si>
    <t>March</t>
  </si>
  <si>
    <t>Co-Investigator</t>
  </si>
  <si>
    <t>Management</t>
  </si>
  <si>
    <t xml:space="preserve">Department time </t>
  </si>
  <si>
    <t>Bank holiday or closure</t>
  </si>
  <si>
    <t>WP1</t>
  </si>
  <si>
    <t>BBSRC</t>
  </si>
  <si>
    <t>NSF</t>
  </si>
  <si>
    <t>MEDICAL RESEARCH COUNCIL</t>
  </si>
  <si>
    <t>Open Access block grant (OA)</t>
  </si>
  <si>
    <t>Monthly Days Record</t>
  </si>
  <si>
    <t>April</t>
  </si>
  <si>
    <t>Researcher</t>
  </si>
  <si>
    <t>Teaching</t>
  </si>
  <si>
    <t>Sick leave</t>
  </si>
  <si>
    <t>WP2</t>
  </si>
  <si>
    <t>ESRC</t>
  </si>
  <si>
    <t>EU – Other</t>
  </si>
  <si>
    <t>USDA</t>
  </si>
  <si>
    <t>CANCER RESEARCH UK</t>
  </si>
  <si>
    <t>Impact Acceleration Accounts (IAA)</t>
  </si>
  <si>
    <t>UKRI Block Grants</t>
  </si>
  <si>
    <t>May</t>
  </si>
  <si>
    <t>Technician</t>
  </si>
  <si>
    <t>Demonstration</t>
  </si>
  <si>
    <t>DA project hours</t>
  </si>
  <si>
    <t>Maternity or paternity leave</t>
  </si>
  <si>
    <t>WP3</t>
  </si>
  <si>
    <t>EPSRC</t>
  </si>
  <si>
    <t>EURATOM</t>
  </si>
  <si>
    <t>SCIENCE &amp; TECHNOLOGY FACILITIES COUNCIL</t>
  </si>
  <si>
    <t>Centre for Doctoral Training grant (CDT)</t>
  </si>
  <si>
    <t>June</t>
  </si>
  <si>
    <t>Project Manager</t>
  </si>
  <si>
    <t>Coordination (CSA)</t>
  </si>
  <si>
    <t>GL funded research</t>
  </si>
  <si>
    <t>WP4</t>
  </si>
  <si>
    <t>ROYAL SOCIETY</t>
  </si>
  <si>
    <t>July</t>
  </si>
  <si>
    <t>Manager</t>
  </si>
  <si>
    <t>Coordination (CP)</t>
  </si>
  <si>
    <t>WP5</t>
  </si>
  <si>
    <t>MRC</t>
  </si>
  <si>
    <t>GATSBY CHARITABLE FOUNDATION</t>
  </si>
  <si>
    <t>August</t>
  </si>
  <si>
    <t>Clerical/Admin</t>
  </si>
  <si>
    <t>Support (CP)</t>
  </si>
  <si>
    <t>WP6</t>
  </si>
  <si>
    <t>NERC</t>
  </si>
  <si>
    <t>BRITISH HEART FDN</t>
  </si>
  <si>
    <t>September</t>
  </si>
  <si>
    <t>Student</t>
  </si>
  <si>
    <t>WP7</t>
  </si>
  <si>
    <t>Research England</t>
  </si>
  <si>
    <t>LEVERHULME TRUST</t>
  </si>
  <si>
    <t>October</t>
  </si>
  <si>
    <t>WP8</t>
  </si>
  <si>
    <t>STFC</t>
  </si>
  <si>
    <t>BILL &amp; MELINDA GATES FOUNDATION</t>
  </si>
  <si>
    <t>November</t>
  </si>
  <si>
    <t>WP9</t>
  </si>
  <si>
    <t>UKRI Block</t>
  </si>
  <si>
    <t>ISAAC NEWTON TRUST</t>
  </si>
  <si>
    <t>December</t>
  </si>
  <si>
    <t>WP10</t>
  </si>
  <si>
    <t>UKRI Horizon Europe underwrite</t>
  </si>
  <si>
    <t>ALZHEIMER'S RESEARCH UK</t>
  </si>
  <si>
    <t>WP11</t>
  </si>
  <si>
    <t>FARADAY INSTITUTION</t>
  </si>
  <si>
    <t>WP12</t>
  </si>
  <si>
    <t>BRITISH ACADEMY</t>
  </si>
  <si>
    <t>WP13</t>
  </si>
  <si>
    <t>ASTRAZENECA UK LTD</t>
  </si>
  <si>
    <t>WP14</t>
  </si>
  <si>
    <t>ROLLS ROYCE PLC</t>
  </si>
  <si>
    <t>WP15</t>
  </si>
  <si>
    <t>GLAXOSMITHKLINE</t>
  </si>
  <si>
    <t>WP16</t>
  </si>
  <si>
    <t>MEDIMMUNE LTD</t>
  </si>
  <si>
    <t>WP17</t>
  </si>
  <si>
    <t>ROYAL ACADEMY OF ENGINEERING</t>
  </si>
  <si>
    <t>WP18</t>
  </si>
  <si>
    <t>GLAXOSMITHKLINE RESEARCH &amp; DEVELOPMENT LTD</t>
  </si>
  <si>
    <t>WP19</t>
  </si>
  <si>
    <t>ADDENBROOKE'S CHARITABLE TRUST</t>
  </si>
  <si>
    <t>WP20</t>
  </si>
  <si>
    <t>ALAN TURING INSTITUTE</t>
  </si>
  <si>
    <t>WP21</t>
  </si>
  <si>
    <t>EVELYN TRUST</t>
  </si>
  <si>
    <t>WP22</t>
  </si>
  <si>
    <t>ROSETREES TRUST</t>
  </si>
  <si>
    <t>WP23</t>
  </si>
  <si>
    <t>ACADEMY OF MEDICAL SCIENCES</t>
  </si>
  <si>
    <t>WP24</t>
  </si>
  <si>
    <t>CAMBRIDGESHIRE &amp; PETERBOROUGH MH P/SHIP NHS TRUST</t>
  </si>
  <si>
    <t>WP25</t>
  </si>
  <si>
    <t>CRN EASTERN</t>
  </si>
  <si>
    <t>WP26</t>
  </si>
  <si>
    <t>UK DRI LTD</t>
  </si>
  <si>
    <t>WP27</t>
  </si>
  <si>
    <t>WP28</t>
  </si>
  <si>
    <t>WP29</t>
  </si>
  <si>
    <t>WP30</t>
  </si>
  <si>
    <t>WP ERC lab work</t>
  </si>
  <si>
    <t>WP ERC research</t>
  </si>
  <si>
    <t>WP ERC dissemination</t>
  </si>
  <si>
    <t>WP ERC fieldwork</t>
  </si>
  <si>
    <t>WP ERC other</t>
  </si>
  <si>
    <t>WP MSC lab work</t>
  </si>
  <si>
    <t>WP MSC research</t>
  </si>
  <si>
    <t>WP MSC dissemination</t>
  </si>
  <si>
    <t>WP MSC secondment</t>
  </si>
  <si>
    <t>WP MSC other</t>
  </si>
  <si>
    <t>Martin Santamarina Garcia</t>
  </si>
  <si>
    <t>ms3242</t>
  </si>
  <si>
    <t>Alex Cagan</t>
  </si>
  <si>
    <t>1R01AG087974 / 00011897</t>
  </si>
  <si>
    <t>primates across lifespans</t>
  </si>
  <si>
    <t>PCAG/521</t>
  </si>
  <si>
    <t>G125107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</si>
</sst>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mmm"/>
    <numFmt numFmtId="165" formatCode="0.0%"/>
  </numFmts>
  <fonts count="45" x14ac:knownFonts="1">
    <font>
      <sz val="11"/>
      <color theme="1"/>
      <name val="Arial"/>
      <family val="2"/>
    </font>
    <font>
      <sz val="12"/>
      <color theme="1"/>
      <name val="Calibri"/>
      <family val="2"/>
      <scheme val="minor"/>
    </font>
    <font>
      <sz val="12"/>
      <color theme="1"/>
      <name val="Calibri"/>
      <family val="2"/>
      <scheme val="minor"/>
    </font>
    <font>
      <sz val="11"/>
      <color theme="0"/>
      <name val="Arial"/>
      <family val="2"/>
    </font>
    <font>
      <sz val="12"/>
      <color theme="0"/>
      <name val="Arial"/>
      <family val="2"/>
    </font>
    <font>
      <sz val="10"/>
      <color theme="4" tint="-0.499984740745262"/>
      <name val="Arial"/>
      <family val="2"/>
    </font>
    <font>
      <u/>
      <sz val="11"/>
      <color theme="10"/>
      <name val="Arial"/>
      <family val="2"/>
    </font>
    <font>
      <b/>
      <sz val="12"/>
      <color theme="0"/>
      <name val="Calibri"/>
      <family val="2"/>
      <scheme val="minor"/>
    </font>
    <font>
      <sz val="12"/>
      <color theme="4" tint="-0.499984740745262"/>
      <name val="Calibri"/>
      <family val="2"/>
      <scheme val="minor"/>
    </font>
    <font>
      <sz val="24"/>
      <color theme="0"/>
      <name val="Calibri"/>
      <family val="2"/>
      <scheme val="minor"/>
    </font>
    <font>
      <b/>
      <sz val="12"/>
      <color theme="1"/>
      <name val="Calibri"/>
      <family val="2"/>
      <scheme val="minor"/>
    </font>
    <font>
      <sz val="11"/>
      <color theme="1"/>
      <name val="Arial"/>
      <family val="2"/>
    </font>
    <font>
      <sz val="8"/>
      <name val="Arial"/>
      <family val="2"/>
    </font>
    <font>
      <b/>
      <sz val="14"/>
      <color theme="0"/>
      <name val="Calibri"/>
      <family val="2"/>
      <scheme val="minor"/>
    </font>
    <font>
      <sz val="14"/>
      <color theme="0"/>
      <name val="Calibri"/>
      <family val="2"/>
      <scheme val="minor"/>
    </font>
    <font>
      <sz val="14"/>
      <color theme="1"/>
      <name val="Calibri"/>
      <family val="2"/>
      <scheme val="minor"/>
    </font>
    <font>
      <b/>
      <sz val="14"/>
      <color theme="1"/>
      <name val="Calibri"/>
      <family val="2"/>
      <scheme val="minor"/>
    </font>
    <font>
      <b/>
      <sz val="16"/>
      <color theme="1"/>
      <name val="Calibri"/>
      <family val="2"/>
      <scheme val="minor"/>
    </font>
    <font>
      <b/>
      <sz val="16"/>
      <color theme="4" tint="-0.499984740745262"/>
      <name val="Calibri"/>
      <family val="2"/>
      <scheme val="minor"/>
    </font>
    <font>
      <sz val="16"/>
      <color theme="4" tint="-0.499984740745262"/>
      <name val="Calibri"/>
      <family val="2"/>
      <scheme val="minor"/>
    </font>
    <font>
      <b/>
      <sz val="16"/>
      <color theme="0"/>
      <name val="Calibri"/>
      <family val="2"/>
      <scheme val="minor"/>
    </font>
    <font>
      <sz val="24"/>
      <color theme="0"/>
      <name val="Arial"/>
      <family val="2"/>
    </font>
    <font>
      <sz val="12"/>
      <color theme="1"/>
      <name val="Arial"/>
      <family val="2"/>
    </font>
    <font>
      <sz val="12"/>
      <color theme="1"/>
      <name val="Arial"/>
      <family val="2"/>
    </font>
    <font>
      <sz val="12"/>
      <color rgb="FFFFFFFF"/>
      <name val="Calibri"/>
      <family val="2"/>
      <scheme val="minor"/>
    </font>
    <font>
      <b/>
      <sz val="14"/>
      <color theme="1"/>
      <name val="Arial"/>
      <family val="2"/>
    </font>
    <font>
      <sz val="12"/>
      <color rgb="FFFFFFFF"/>
      <name val="Calibri"/>
      <family val="2"/>
    </font>
    <font>
      <b/>
      <sz val="12"/>
      <color theme="0"/>
      <name val="Arial"/>
      <family val="2"/>
    </font>
    <font>
      <b/>
      <sz val="14"/>
      <color theme="0"/>
      <name val="Arial"/>
      <family val="2"/>
    </font>
    <font>
      <sz val="14"/>
      <color theme="0"/>
      <name val="Arial"/>
      <family val="2"/>
    </font>
    <font>
      <sz val="8"/>
      <color rgb="FF666666"/>
      <name val="Arial"/>
      <family val="2"/>
    </font>
    <font>
      <b/>
      <u/>
      <sz val="14"/>
      <color theme="0"/>
      <name val="Arial"/>
      <family val="2"/>
    </font>
    <font>
      <b/>
      <sz val="11"/>
      <color theme="1"/>
      <name val="Arial"/>
      <family val="2"/>
    </font>
    <font>
      <sz val="14"/>
      <color theme="1"/>
      <name val="Arial"/>
      <family val="2"/>
    </font>
    <font>
      <sz val="14"/>
      <color rgb="FF000000"/>
      <name val="Calibri"/>
      <family val="2"/>
      <scheme val="minor"/>
    </font>
    <font>
      <sz val="14"/>
      <color theme="2" tint="-0.749992370372631"/>
      <name val="Calibri"/>
      <family val="2"/>
      <scheme val="minor"/>
    </font>
    <font>
      <sz val="16"/>
      <color theme="1"/>
      <name val="Calibri"/>
      <family val="2"/>
      <scheme val="minor"/>
    </font>
    <font>
      <sz val="14"/>
      <color theme="1"/>
      <name val="Times New Roman"/>
      <family val="1"/>
    </font>
    <font>
      <b/>
      <sz val="12"/>
      <color theme="1"/>
      <name val="Arial"/>
      <family val="2"/>
    </font>
    <font>
      <sz val="14"/>
      <color rgb="FFFFFFFF"/>
      <name val="Arial"/>
      <family val="2"/>
    </font>
    <font>
      <b/>
      <sz val="16"/>
      <color theme="0"/>
      <name val="Arial"/>
      <family val="2"/>
    </font>
    <font>
      <b/>
      <sz val="16"/>
      <color theme="1"/>
      <name val="Arial"/>
      <family val="2"/>
    </font>
    <font>
      <b/>
      <sz val="12"/>
      <color theme="1" tint="0.499984740745262"/>
      <name val="Calibri"/>
      <family val="2"/>
      <scheme val="minor"/>
    </font>
    <font>
      <sz val="12"/>
      <color theme="1" tint="0.499984740745262"/>
      <name val="Calibri"/>
      <family val="2"/>
      <scheme val="minor"/>
    </font>
    <font>
      <sz val="8"/>
      <color rgb="FF595959"/>
      <name val="Arial"/>
      <family val="2"/>
    </font>
  </fonts>
  <fills count="16">
    <fill>
      <patternFill patternType="none"/>
    </fill>
    <fill>
      <patternFill patternType="gray125"/>
    </fill>
    <fill>
      <patternFill patternType="solid">
        <fgColor theme="4" tint="0.39997558519241921"/>
        <bgColor indexed="64"/>
      </patternFill>
    </fill>
    <fill>
      <patternFill patternType="solid">
        <fgColor theme="0"/>
        <bgColor indexed="64"/>
      </patternFill>
    </fill>
    <fill>
      <patternFill patternType="solid">
        <fgColor theme="4"/>
      </patternFill>
    </fill>
    <fill>
      <patternFill patternType="solid">
        <fgColor rgb="FF0073CF"/>
        <bgColor indexed="64"/>
      </patternFill>
    </fill>
    <fill>
      <patternFill patternType="solid">
        <fgColor rgb="FF7030A0"/>
        <bgColor indexed="64"/>
      </patternFill>
    </fill>
    <fill>
      <patternFill patternType="solid">
        <fgColor rgb="FF014E8F"/>
        <bgColor indexed="64"/>
      </patternFill>
    </fill>
    <fill>
      <patternFill patternType="solid">
        <fgColor rgb="FFFFFFFF"/>
        <bgColor indexed="64"/>
      </patternFill>
    </fill>
    <fill>
      <patternFill patternType="solid">
        <fgColor theme="4" tint="0.79998168889431442"/>
        <bgColor indexed="64"/>
      </patternFill>
    </fill>
    <fill>
      <patternFill patternType="solid">
        <fgColor theme="0" tint="-0.34998626667073579"/>
        <bgColor indexed="64"/>
      </patternFill>
    </fill>
    <fill>
      <patternFill patternType="solid">
        <fgColor rgb="FFF2FFA9"/>
        <bgColor indexed="64"/>
      </patternFill>
    </fill>
    <fill>
      <patternFill patternType="solid">
        <fgColor rgb="FFFFFF00"/>
        <bgColor indexed="64"/>
      </patternFill>
    </fill>
    <fill>
      <patternFill patternType="solid">
        <fgColor theme="0" tint="-0.14999847407452621"/>
        <bgColor indexed="64"/>
      </patternFill>
    </fill>
    <fill>
      <patternFill patternType="solid">
        <fgColor theme="7" tint="-0.249977111117893"/>
        <bgColor indexed="64"/>
      </patternFill>
    </fill>
    <fill>
      <patternFill patternType="solid">
        <fgColor theme="0" tint="-4.9989318521683403E-2"/>
        <bgColor indexed="64"/>
      </patternFill>
    </fill>
  </fills>
  <borders count="18">
    <border>
      <left/>
      <right/>
      <top/>
      <bottom/>
      <diagonal/>
    </border>
    <border>
      <left style="thin">
        <color rgb="FF003E71"/>
      </left>
      <right style="thin">
        <color rgb="FF003E71"/>
      </right>
      <top style="thin">
        <color rgb="FF003E71"/>
      </top>
      <bottom style="thin">
        <color rgb="FF003E71"/>
      </bottom>
      <diagonal/>
    </border>
    <border>
      <left style="thin">
        <color rgb="FF003E71"/>
      </left>
      <right style="thin">
        <color rgb="FF003E71"/>
      </right>
      <top/>
      <bottom/>
      <diagonal/>
    </border>
    <border>
      <left style="double">
        <color auto="1"/>
      </left>
      <right style="double">
        <color auto="1"/>
      </right>
      <top style="double">
        <color auto="1"/>
      </top>
      <bottom style="double">
        <color auto="1"/>
      </bottom>
      <diagonal/>
    </border>
    <border>
      <left/>
      <right style="thin">
        <color rgb="FF003E71"/>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003E71"/>
      </left>
      <right/>
      <top/>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theme="1"/>
      </left>
      <right/>
      <top style="medium">
        <color theme="1"/>
      </top>
      <bottom/>
      <diagonal/>
    </border>
    <border>
      <left/>
      <right/>
      <top style="medium">
        <color theme="1"/>
      </top>
      <bottom/>
      <diagonal/>
    </border>
    <border>
      <left/>
      <right style="medium">
        <color theme="1"/>
      </right>
      <top style="medium">
        <color theme="1"/>
      </top>
      <bottom/>
      <diagonal/>
    </border>
    <border>
      <left style="medium">
        <color theme="1"/>
      </left>
      <right/>
      <top/>
      <bottom/>
      <diagonal/>
    </border>
    <border>
      <left/>
      <right style="medium">
        <color theme="1"/>
      </right>
      <top/>
      <bottom/>
      <diagonal/>
    </border>
    <border>
      <left style="medium">
        <color theme="1"/>
      </left>
      <right/>
      <top/>
      <bottom style="medium">
        <color theme="1"/>
      </bottom>
      <diagonal/>
    </border>
    <border>
      <left/>
      <right/>
      <top/>
      <bottom style="medium">
        <color theme="1"/>
      </bottom>
      <diagonal/>
    </border>
    <border>
      <left/>
      <right style="medium">
        <color theme="1"/>
      </right>
      <top/>
      <bottom style="medium">
        <color theme="1"/>
      </bottom>
      <diagonal/>
    </border>
  </borders>
  <cellStyleXfs count="4">
    <xf numFmtId="0" fontId="0" fillId="0" borderId="0"/>
    <xf numFmtId="0" fontId="3" fillId="4" borderId="0" applyNumberFormat="0" applyBorder="0" applyAlignment="0" applyProtection="0"/>
    <xf numFmtId="0" fontId="6" fillId="0" borderId="0" applyNumberFormat="0" applyFill="0" applyBorder="0" applyAlignment="0" applyProtection="0">
      <alignment vertical="top"/>
      <protection locked="0"/>
    </xf>
    <xf numFmtId="9" fontId="11" fillId="0" borderId="0" applyFont="0" applyFill="0" applyBorder="0" applyAlignment="0" applyProtection="0"/>
  </cellStyleXfs>
  <cellXfs count="179">
    <xf numFmtId="0" fontId="0" fillId="0" borderId="0" xfId="0"/>
    <xf numFmtId="0" fontId="0" fillId="3" borderId="0" xfId="0" applyFill="1"/>
    <xf numFmtId="0" fontId="5" fillId="0" borderId="0" xfId="0" quotePrefix="1" applyFont="1"/>
    <xf numFmtId="0" fontId="5" fillId="0" borderId="0" xfId="0" applyFont="1"/>
    <xf numFmtId="0" fontId="7" fillId="2" borderId="0" xfId="0" applyFont="1" applyFill="1"/>
    <xf numFmtId="0" fontId="0" fillId="0" borderId="0" xfId="0" applyAlignment="1">
      <alignment wrapText="1"/>
    </xf>
    <xf numFmtId="0" fontId="2" fillId="3" borderId="0" xfId="0" applyFont="1" applyFill="1" applyAlignment="1">
      <alignment vertical="center"/>
    </xf>
    <xf numFmtId="0" fontId="17" fillId="9" borderId="0" xfId="0" applyFont="1" applyFill="1" applyAlignment="1">
      <alignment horizontal="center" vertical="center"/>
    </xf>
    <xf numFmtId="0" fontId="23" fillId="3" borderId="0" xfId="0" applyFont="1" applyFill="1"/>
    <xf numFmtId="0" fontId="23" fillId="0" borderId="0" xfId="0" applyFont="1"/>
    <xf numFmtId="0" fontId="22" fillId="3" borderId="0" xfId="0" applyFont="1" applyFill="1"/>
    <xf numFmtId="9" fontId="0" fillId="3" borderId="0" xfId="3" applyFont="1" applyFill="1"/>
    <xf numFmtId="0" fontId="4" fillId="3" borderId="0" xfId="0" applyFont="1" applyFill="1" applyAlignment="1">
      <alignment vertical="center" wrapText="1"/>
    </xf>
    <xf numFmtId="0" fontId="26" fillId="3" borderId="0" xfId="0" applyFont="1" applyFill="1" applyAlignment="1">
      <alignment vertical="center" wrapText="1"/>
    </xf>
    <xf numFmtId="0" fontId="24" fillId="3" borderId="0" xfId="0" applyFont="1" applyFill="1" applyAlignment="1">
      <alignment vertical="center" wrapText="1"/>
    </xf>
    <xf numFmtId="9" fontId="8" fillId="0" borderId="0" xfId="0" applyNumberFormat="1" applyFont="1" applyAlignment="1" applyProtection="1">
      <alignment horizontal="center" vertical="center"/>
      <protection locked="0"/>
    </xf>
    <xf numFmtId="0" fontId="8" fillId="3" borderId="0" xfId="0" applyFont="1" applyFill="1" applyAlignment="1" applyProtection="1">
      <alignment horizontal="right" vertical="center"/>
      <protection locked="0"/>
    </xf>
    <xf numFmtId="0" fontId="0" fillId="3" borderId="0" xfId="0" applyFill="1" applyAlignment="1">
      <alignment vertical="center"/>
    </xf>
    <xf numFmtId="0" fontId="5" fillId="0" borderId="0" xfId="0" applyFont="1" applyAlignment="1">
      <alignment wrapText="1"/>
    </xf>
    <xf numFmtId="0" fontId="30" fillId="0" borderId="0" xfId="0" applyFont="1"/>
    <xf numFmtId="0" fontId="0" fillId="3" borderId="0" xfId="0" applyFill="1" applyAlignment="1">
      <alignment horizontal="left" vertical="center"/>
    </xf>
    <xf numFmtId="0" fontId="10" fillId="10" borderId="0" xfId="0" applyFont="1" applyFill="1" applyAlignment="1">
      <alignment horizontal="left" vertical="center"/>
    </xf>
    <xf numFmtId="0" fontId="0" fillId="2" borderId="0" xfId="0" applyFill="1" applyAlignment="1">
      <alignment horizontal="left" vertical="top" wrapText="1"/>
    </xf>
    <xf numFmtId="0" fontId="32" fillId="2" borderId="0" xfId="0" applyFont="1" applyFill="1" applyAlignment="1">
      <alignment horizontal="left" vertical="top" wrapText="1"/>
    </xf>
    <xf numFmtId="0" fontId="15" fillId="2" borderId="1" xfId="0" applyFont="1" applyFill="1" applyBorder="1" applyAlignment="1">
      <alignment horizontal="right" vertical="center"/>
    </xf>
    <xf numFmtId="0" fontId="15" fillId="3" borderId="2" xfId="0" applyFont="1" applyFill="1" applyBorder="1" applyAlignment="1">
      <alignment horizontal="right" vertical="center"/>
    </xf>
    <xf numFmtId="0" fontId="33" fillId="8" borderId="3" xfId="0" applyFont="1" applyFill="1" applyBorder="1" applyAlignment="1" applyProtection="1">
      <alignment horizontal="center" vertical="center"/>
      <protection locked="0"/>
    </xf>
    <xf numFmtId="0" fontId="15" fillId="3" borderId="7" xfId="0" applyFont="1" applyFill="1" applyBorder="1" applyAlignment="1">
      <alignment horizontal="right" vertical="center"/>
    </xf>
    <xf numFmtId="0" fontId="15" fillId="3" borderId="4" xfId="0" applyFont="1" applyFill="1" applyBorder="1" applyAlignment="1">
      <alignment horizontal="right" vertical="center"/>
    </xf>
    <xf numFmtId="0" fontId="15" fillId="2" borderId="1" xfId="0" applyFont="1" applyFill="1" applyBorder="1" applyAlignment="1">
      <alignment horizontal="right" vertical="center" wrapText="1"/>
    </xf>
    <xf numFmtId="14" fontId="33" fillId="8" borderId="3" xfId="0" applyNumberFormat="1" applyFont="1" applyFill="1" applyBorder="1" applyAlignment="1" applyProtection="1">
      <alignment horizontal="center" vertical="center"/>
      <protection locked="0"/>
    </xf>
    <xf numFmtId="0" fontId="16" fillId="2" borderId="1" xfId="0" applyFont="1" applyFill="1" applyBorder="1" applyAlignment="1">
      <alignment horizontal="right" vertical="center" wrapText="1"/>
    </xf>
    <xf numFmtId="0" fontId="28" fillId="7" borderId="0" xfId="0" applyFont="1" applyFill="1" applyAlignment="1">
      <alignment horizontal="center" vertical="center" wrapText="1"/>
    </xf>
    <xf numFmtId="0" fontId="21" fillId="5" borderId="0" xfId="1" applyFont="1" applyFill="1" applyBorder="1" applyAlignment="1" applyProtection="1">
      <alignment horizontal="left" vertical="center"/>
    </xf>
    <xf numFmtId="0" fontId="21" fillId="5" borderId="0" xfId="1" applyFont="1" applyFill="1" applyBorder="1" applyAlignment="1" applyProtection="1">
      <alignment horizontal="right" vertical="center"/>
    </xf>
    <xf numFmtId="0" fontId="33" fillId="3" borderId="0" xfId="0" applyFont="1" applyFill="1"/>
    <xf numFmtId="0" fontId="34" fillId="8" borderId="0" xfId="0" applyFont="1" applyFill="1" applyAlignment="1">
      <alignment vertical="center"/>
    </xf>
    <xf numFmtId="0" fontId="15" fillId="3" borderId="0" xfId="0" applyFont="1" applyFill="1" applyAlignment="1">
      <alignment vertical="center"/>
    </xf>
    <xf numFmtId="0" fontId="34" fillId="8" borderId="0" xfId="0" applyFont="1" applyFill="1" applyAlignment="1">
      <alignment vertical="center" wrapText="1"/>
    </xf>
    <xf numFmtId="0" fontId="15" fillId="3" borderId="0" xfId="0" applyFont="1" applyFill="1" applyAlignment="1">
      <alignment horizontal="right" vertical="center"/>
    </xf>
    <xf numFmtId="0" fontId="15" fillId="3" borderId="0" xfId="0" applyFont="1" applyFill="1" applyAlignment="1">
      <alignment horizontal="center" vertical="center"/>
    </xf>
    <xf numFmtId="0" fontId="35" fillId="3" borderId="0" xfId="0" applyFont="1" applyFill="1" applyAlignment="1">
      <alignment vertical="center"/>
    </xf>
    <xf numFmtId="164" fontId="15" fillId="3" borderId="0" xfId="0" applyNumberFormat="1" applyFont="1" applyFill="1" applyAlignment="1">
      <alignment horizontal="right" vertical="center"/>
    </xf>
    <xf numFmtId="0" fontId="14" fillId="7" borderId="0" xfId="0" applyFont="1" applyFill="1" applyAlignment="1">
      <alignment vertical="center"/>
    </xf>
    <xf numFmtId="0" fontId="14" fillId="7" borderId="0" xfId="0" applyFont="1" applyFill="1" applyAlignment="1">
      <alignment horizontal="center" vertical="center"/>
    </xf>
    <xf numFmtId="0" fontId="28" fillId="7" borderId="0" xfId="0" applyFont="1" applyFill="1" applyAlignment="1">
      <alignment wrapText="1"/>
    </xf>
    <xf numFmtId="0" fontId="15" fillId="2" borderId="0" xfId="0" applyFont="1" applyFill="1" applyAlignment="1">
      <alignment textRotation="90"/>
    </xf>
    <xf numFmtId="0" fontId="33" fillId="2" borderId="0" xfId="0" applyFont="1" applyFill="1" applyAlignment="1">
      <alignment horizontal="left"/>
    </xf>
    <xf numFmtId="0" fontId="15" fillId="2" borderId="0" xfId="0" applyFont="1" applyFill="1"/>
    <xf numFmtId="0" fontId="33" fillId="2" borderId="0" xfId="0" applyFont="1" applyFill="1" applyAlignment="1">
      <alignment horizontal="center" vertical="center" wrapText="1"/>
    </xf>
    <xf numFmtId="9" fontId="15" fillId="2" borderId="0" xfId="3" applyFont="1" applyFill="1" applyBorder="1" applyAlignment="1" applyProtection="1"/>
    <xf numFmtId="0" fontId="28" fillId="7" borderId="0" xfId="0" applyFont="1" applyFill="1" applyAlignment="1">
      <alignment vertical="center" wrapText="1"/>
    </xf>
    <xf numFmtId="0" fontId="8" fillId="0" borderId="0" xfId="0" applyFont="1" applyAlignment="1" applyProtection="1">
      <alignment vertical="center"/>
      <protection locked="0"/>
    </xf>
    <xf numFmtId="49" fontId="8" fillId="0" borderId="0" xfId="0" applyNumberFormat="1" applyFont="1" applyAlignment="1" applyProtection="1">
      <alignment horizontal="left" vertical="center"/>
      <protection locked="0"/>
    </xf>
    <xf numFmtId="49" fontId="8" fillId="2" borderId="0" xfId="0" applyNumberFormat="1" applyFont="1" applyFill="1" applyAlignment="1">
      <alignment horizontal="center" vertical="center"/>
    </xf>
    <xf numFmtId="49" fontId="8" fillId="0" borderId="0" xfId="0" applyNumberFormat="1" applyFont="1" applyAlignment="1" applyProtection="1">
      <alignment horizontal="center" vertical="center"/>
      <protection locked="0"/>
    </xf>
    <xf numFmtId="0" fontId="8" fillId="2" borderId="0" xfId="0" applyFont="1" applyFill="1" applyAlignment="1">
      <alignment horizontal="center" vertical="center"/>
    </xf>
    <xf numFmtId="0" fontId="25" fillId="2" borderId="0" xfId="0" applyFont="1" applyFill="1" applyAlignment="1">
      <alignment horizontal="left" vertical="center"/>
    </xf>
    <xf numFmtId="0" fontId="38" fillId="2" borderId="0" xfId="0" applyFont="1" applyFill="1" applyAlignment="1">
      <alignment horizontal="left" vertical="center"/>
    </xf>
    <xf numFmtId="0" fontId="15" fillId="3" borderId="0" xfId="0" applyFont="1" applyFill="1"/>
    <xf numFmtId="0" fontId="15" fillId="3" borderId="0" xfId="0" applyFont="1" applyFill="1" applyAlignment="1">
      <alignment horizontal="left" wrapText="1"/>
    </xf>
    <xf numFmtId="0" fontId="15" fillId="3" borderId="0" xfId="0" applyFont="1" applyFill="1" applyAlignment="1">
      <alignment horizontal="right"/>
    </xf>
    <xf numFmtId="0" fontId="36" fillId="3" borderId="0" xfId="0" applyFont="1" applyFill="1"/>
    <xf numFmtId="0" fontId="17" fillId="9" borderId="0" xfId="0" applyFont="1" applyFill="1"/>
    <xf numFmtId="0" fontId="18" fillId="9" borderId="0" xfId="0" applyFont="1" applyFill="1"/>
    <xf numFmtId="0" fontId="18" fillId="9" borderId="0" xfId="0" applyFont="1" applyFill="1" applyAlignment="1">
      <alignment horizontal="left" wrapText="1"/>
    </xf>
    <xf numFmtId="0" fontId="18" fillId="9" borderId="0" xfId="0" applyFont="1" applyFill="1" applyAlignment="1">
      <alignment horizontal="right"/>
    </xf>
    <xf numFmtId="0" fontId="18" fillId="9" borderId="0" xfId="0" applyFont="1" applyFill="1" applyAlignment="1">
      <alignment horizontal="right" vertical="center"/>
    </xf>
    <xf numFmtId="0" fontId="18" fillId="9" borderId="0" xfId="0" applyFont="1" applyFill="1" applyAlignment="1">
      <alignment vertical="center"/>
    </xf>
    <xf numFmtId="0" fontId="18" fillId="9" borderId="0" xfId="0" applyFont="1" applyFill="1" applyAlignment="1">
      <alignment horizontal="center" vertical="center"/>
    </xf>
    <xf numFmtId="0" fontId="19" fillId="9" borderId="0" xfId="0" applyFont="1" applyFill="1" applyAlignment="1">
      <alignment horizontal="right" vertical="center"/>
    </xf>
    <xf numFmtId="0" fontId="19" fillId="9" borderId="0" xfId="0" applyFont="1" applyFill="1" applyAlignment="1">
      <alignment horizontal="center" vertical="center"/>
    </xf>
    <xf numFmtId="0" fontId="0" fillId="3" borderId="10" xfId="0" applyFill="1" applyBorder="1" applyAlignment="1">
      <alignment vertical="center"/>
    </xf>
    <xf numFmtId="0" fontId="0" fillId="3" borderId="11" xfId="0" applyFill="1" applyBorder="1" applyAlignment="1">
      <alignment vertical="center"/>
    </xf>
    <xf numFmtId="0" fontId="0" fillId="3" borderId="12" xfId="0" applyFill="1" applyBorder="1" applyAlignment="1">
      <alignment vertical="center"/>
    </xf>
    <xf numFmtId="0" fontId="0" fillId="3" borderId="13" xfId="0" applyFill="1" applyBorder="1"/>
    <xf numFmtId="0" fontId="0" fillId="3" borderId="14" xfId="0" applyFill="1" applyBorder="1"/>
    <xf numFmtId="0" fontId="22" fillId="3" borderId="13" xfId="0" applyFont="1" applyFill="1" applyBorder="1"/>
    <xf numFmtId="0" fontId="22" fillId="3" borderId="14" xfId="0" applyFont="1" applyFill="1" applyBorder="1"/>
    <xf numFmtId="0" fontId="0" fillId="3" borderId="15" xfId="0" applyFill="1" applyBorder="1"/>
    <xf numFmtId="0" fontId="0" fillId="3" borderId="16" xfId="0" applyFill="1" applyBorder="1"/>
    <xf numFmtId="0" fontId="0" fillId="3" borderId="17" xfId="0" applyFill="1" applyBorder="1"/>
    <xf numFmtId="0" fontId="0" fillId="13" borderId="0" xfId="0" applyFill="1"/>
    <xf numFmtId="0" fontId="0" fillId="13" borderId="0" xfId="0" applyFill="1" applyAlignment="1">
      <alignment vertical="center"/>
    </xf>
    <xf numFmtId="0" fontId="0" fillId="13" borderId="0" xfId="0" applyFill="1" applyAlignment="1">
      <alignment horizontal="left" vertical="center"/>
    </xf>
    <xf numFmtId="0" fontId="22" fillId="13" borderId="0" xfId="0" applyFont="1" applyFill="1"/>
    <xf numFmtId="0" fontId="22" fillId="13" borderId="0" xfId="0" applyFont="1" applyFill="1" applyAlignment="1">
      <alignment vertical="center"/>
    </xf>
    <xf numFmtId="0" fontId="22" fillId="13" borderId="0" xfId="0" applyFont="1" applyFill="1" applyAlignment="1">
      <alignment horizontal="left" vertical="center"/>
    </xf>
    <xf numFmtId="9" fontId="0" fillId="13" borderId="0" xfId="3" applyFont="1" applyFill="1"/>
    <xf numFmtId="0" fontId="22" fillId="2" borderId="0" xfId="0" applyFont="1" applyFill="1" applyAlignment="1">
      <alignment horizontal="left" vertical="top" wrapText="1"/>
    </xf>
    <xf numFmtId="0" fontId="38" fillId="2" borderId="0" xfId="0" applyFont="1" applyFill="1" applyAlignment="1">
      <alignment horizontal="left" vertical="top" wrapText="1"/>
    </xf>
    <xf numFmtId="0" fontId="38" fillId="2" borderId="0" xfId="0" applyFont="1" applyFill="1" applyAlignment="1">
      <alignment horizontal="left" vertical="top"/>
    </xf>
    <xf numFmtId="0" fontId="41" fillId="2" borderId="9" xfId="0" applyFont="1" applyFill="1" applyBorder="1" applyAlignment="1">
      <alignment horizontal="left" vertical="center" wrapText="1"/>
    </xf>
    <xf numFmtId="0" fontId="33" fillId="3" borderId="0" xfId="0" applyFont="1" applyFill="1" applyAlignment="1">
      <alignment horizontal="left" indent="1"/>
    </xf>
    <xf numFmtId="0" fontId="33" fillId="3" borderId="0" xfId="0" applyFont="1" applyFill="1" applyAlignment="1">
      <alignment horizontal="left" vertical="center" indent="1"/>
    </xf>
    <xf numFmtId="0" fontId="29" fillId="3" borderId="0" xfId="0" applyFont="1" applyFill="1" applyAlignment="1">
      <alignment horizontal="left" vertical="center" wrapText="1" indent="1"/>
    </xf>
    <xf numFmtId="0" fontId="15" fillId="3" borderId="0" xfId="0" applyFont="1" applyFill="1" applyAlignment="1">
      <alignment horizontal="left" indent="1"/>
    </xf>
    <xf numFmtId="0" fontId="22" fillId="8" borderId="3" xfId="0" applyFont="1" applyFill="1" applyBorder="1" applyAlignment="1" applyProtection="1">
      <alignment horizontal="left" vertical="center" indent="1"/>
      <protection locked="0"/>
    </xf>
    <xf numFmtId="0" fontId="0" fillId="2" borderId="0" xfId="0" applyFill="1" applyAlignment="1">
      <alignment horizontal="left" vertical="top" wrapText="1" indent="1"/>
    </xf>
    <xf numFmtId="0" fontId="33" fillId="3" borderId="0" xfId="0" applyFont="1" applyFill="1" applyAlignment="1">
      <alignment horizontal="left" wrapText="1" indent="1"/>
    </xf>
    <xf numFmtId="0" fontId="33" fillId="9" borderId="9" xfId="0" applyFont="1" applyFill="1" applyBorder="1" applyAlignment="1" applyProtection="1">
      <alignment horizontal="left" vertical="center"/>
      <protection locked="0"/>
    </xf>
    <xf numFmtId="0" fontId="42" fillId="10" borderId="0" xfId="0" applyFont="1" applyFill="1" applyAlignment="1">
      <alignment horizontal="right" vertical="center"/>
    </xf>
    <xf numFmtId="0" fontId="42" fillId="10" borderId="0" xfId="0" applyFont="1" applyFill="1" applyAlignment="1">
      <alignment horizontal="left" vertical="center"/>
    </xf>
    <xf numFmtId="0" fontId="43" fillId="10" borderId="0" xfId="0" applyFont="1" applyFill="1" applyAlignment="1">
      <alignment horizontal="left" vertical="center"/>
    </xf>
    <xf numFmtId="0" fontId="43" fillId="10" borderId="0" xfId="0" applyFont="1" applyFill="1" applyAlignment="1">
      <alignment horizontal="right" vertical="center"/>
    </xf>
    <xf numFmtId="165" fontId="0" fillId="12" borderId="3" xfId="0" applyNumberFormat="1" applyFill="1" applyBorder="1" applyAlignment="1" applyProtection="1">
      <alignment horizontal="center" vertical="center" wrapText="1"/>
      <protection locked="0"/>
    </xf>
    <xf numFmtId="9" fontId="33" fillId="12" borderId="3" xfId="3" applyFont="1" applyFill="1" applyBorder="1" applyAlignment="1" applyProtection="1">
      <alignment horizontal="center" vertical="center" wrapText="1"/>
      <protection locked="0"/>
    </xf>
    <xf numFmtId="0" fontId="29" fillId="6" borderId="0" xfId="0" applyFont="1" applyFill="1" applyAlignment="1">
      <alignment vertical="top" wrapText="1"/>
    </xf>
    <xf numFmtId="0" fontId="20" fillId="7" borderId="0" xfId="0" applyFont="1" applyFill="1" applyAlignment="1">
      <alignment vertical="center"/>
    </xf>
    <xf numFmtId="0" fontId="1" fillId="10" borderId="0" xfId="0" applyFont="1" applyFill="1" applyAlignment="1">
      <alignment horizontal="left" vertical="center"/>
    </xf>
    <xf numFmtId="0" fontId="44" fillId="0" borderId="0" xfId="0" applyFont="1"/>
    <xf numFmtId="0" fontId="9" fillId="14" borderId="0" xfId="1" applyFont="1" applyFill="1" applyAlignment="1" applyProtection="1">
      <alignment horizontal="left" vertical="center"/>
    </xf>
    <xf numFmtId="0" fontId="27" fillId="14" borderId="0" xfId="0" applyFont="1" applyFill="1" applyAlignment="1">
      <alignment vertical="center" wrapText="1"/>
    </xf>
    <xf numFmtId="0" fontId="28" fillId="14" borderId="0" xfId="0" applyFont="1" applyFill="1" applyAlignment="1">
      <alignment horizontal="left" vertical="center"/>
    </xf>
    <xf numFmtId="0" fontId="40" fillId="14" borderId="0" xfId="0" applyFont="1" applyFill="1" applyAlignment="1">
      <alignment horizontal="left" vertical="center" wrapText="1" indent="1"/>
    </xf>
    <xf numFmtId="0" fontId="28" fillId="14" borderId="0" xfId="0" applyFont="1" applyFill="1" applyAlignment="1">
      <alignment horizontal="left" vertical="center" wrapText="1" indent="1"/>
    </xf>
    <xf numFmtId="0" fontId="39" fillId="14" borderId="0" xfId="0" applyFont="1" applyFill="1" applyAlignment="1">
      <alignment horizontal="left" vertical="center" wrapText="1" indent="1"/>
    </xf>
    <xf numFmtId="0" fontId="29" fillId="14" borderId="0" xfId="0" applyFont="1" applyFill="1" applyAlignment="1">
      <alignment horizontal="left" vertical="center" wrapText="1" indent="1"/>
    </xf>
    <xf numFmtId="0" fontId="29" fillId="14" borderId="0" xfId="0" applyFont="1" applyFill="1" applyAlignment="1">
      <alignment vertical="center" wrapText="1"/>
    </xf>
    <xf numFmtId="0" fontId="29" fillId="14" borderId="0" xfId="0" applyFont="1" applyFill="1" applyAlignment="1">
      <alignment vertical="top" wrapText="1"/>
    </xf>
    <xf numFmtId="0" fontId="31" fillId="14" borderId="0" xfId="2" applyFont="1" applyFill="1" applyAlignment="1" applyProtection="1">
      <alignment horizontal="left" vertical="center" wrapText="1" indent="1"/>
    </xf>
    <xf numFmtId="0" fontId="22" fillId="2" borderId="0" xfId="0" applyFont="1" applyFill="1" applyAlignment="1">
      <alignment horizontal="left" vertical="top"/>
    </xf>
    <xf numFmtId="0" fontId="0" fillId="13" borderId="0" xfId="0" applyFill="1" applyAlignment="1">
      <alignment horizontal="center" vertical="center"/>
    </xf>
    <xf numFmtId="0" fontId="0" fillId="2" borderId="0" xfId="0" applyFill="1" applyAlignment="1">
      <alignment horizontal="center" vertical="center" wrapText="1"/>
    </xf>
    <xf numFmtId="0" fontId="32" fillId="2" borderId="0" xfId="0" applyFont="1" applyFill="1" applyAlignment="1">
      <alignment horizontal="center" vertical="center" wrapText="1"/>
    </xf>
    <xf numFmtId="0" fontId="22" fillId="13" borderId="0" xfId="0" applyFont="1" applyFill="1" applyAlignment="1">
      <alignment horizontal="center" vertical="center"/>
    </xf>
    <xf numFmtId="0" fontId="0" fillId="3" borderId="0" xfId="0" applyFill="1" applyAlignment="1">
      <alignment horizontal="center" vertical="center"/>
    </xf>
    <xf numFmtId="0" fontId="1" fillId="14" borderId="0" xfId="0" applyFont="1" applyFill="1"/>
    <xf numFmtId="0" fontId="1" fillId="12" borderId="0" xfId="0" applyFont="1" applyFill="1"/>
    <xf numFmtId="0" fontId="1" fillId="12" borderId="0" xfId="0" applyFont="1" applyFill="1" applyAlignment="1">
      <alignment vertical="center"/>
    </xf>
    <xf numFmtId="0" fontId="1" fillId="12" borderId="0" xfId="0" applyFont="1" applyFill="1" applyAlignment="1">
      <alignment horizontal="center" vertical="center"/>
    </xf>
    <xf numFmtId="0" fontId="1" fillId="12" borderId="0" xfId="0" applyFont="1" applyFill="1" applyAlignment="1">
      <alignment horizontal="left" vertical="center"/>
    </xf>
    <xf numFmtId="0" fontId="1" fillId="12" borderId="0" xfId="0" applyFont="1" applyFill="1" applyAlignment="1">
      <alignment horizontal="right" vertical="center"/>
    </xf>
    <xf numFmtId="0" fontId="1" fillId="13" borderId="0" xfId="0" applyFont="1" applyFill="1" applyAlignment="1">
      <alignment vertical="center"/>
    </xf>
    <xf numFmtId="0" fontId="1" fillId="3" borderId="13" xfId="0" applyFont="1" applyFill="1" applyBorder="1" applyAlignment="1">
      <alignment vertical="center"/>
    </xf>
    <xf numFmtId="0" fontId="1" fillId="3" borderId="14" xfId="0" applyFont="1" applyFill="1" applyBorder="1" applyAlignment="1">
      <alignment vertical="center"/>
    </xf>
    <xf numFmtId="0" fontId="1" fillId="3" borderId="0" xfId="0" applyFont="1" applyFill="1" applyAlignment="1">
      <alignment vertical="center"/>
    </xf>
    <xf numFmtId="0" fontId="1" fillId="2" borderId="0" xfId="0" applyFont="1" applyFill="1"/>
    <xf numFmtId="0" fontId="1" fillId="2" borderId="0" xfId="0" applyFont="1" applyFill="1" applyAlignment="1">
      <alignment textRotation="90"/>
    </xf>
    <xf numFmtId="9" fontId="1" fillId="2" borderId="0" xfId="3" applyFont="1" applyFill="1" applyBorder="1" applyProtection="1"/>
    <xf numFmtId="9" fontId="1" fillId="2" borderId="0" xfId="3" applyFont="1" applyFill="1" applyBorder="1" applyAlignment="1" applyProtection="1"/>
    <xf numFmtId="49" fontId="1" fillId="2" borderId="0" xfId="0" applyNumberFormat="1" applyFont="1" applyFill="1"/>
    <xf numFmtId="0" fontId="1" fillId="3" borderId="13" xfId="0" applyFont="1" applyFill="1" applyBorder="1"/>
    <xf numFmtId="0" fontId="1" fillId="3" borderId="14" xfId="0" applyFont="1" applyFill="1" applyBorder="1"/>
    <xf numFmtId="0" fontId="1" fillId="13" borderId="0" xfId="0" applyFont="1" applyFill="1"/>
    <xf numFmtId="0" fontId="1" fillId="3" borderId="0" xfId="0" applyFont="1" applyFill="1"/>
    <xf numFmtId="0" fontId="1" fillId="0" borderId="13" xfId="0" applyFont="1" applyBorder="1" applyAlignment="1">
      <alignment horizontal="center" vertical="center"/>
    </xf>
    <xf numFmtId="0" fontId="1" fillId="0" borderId="0" xfId="0" applyFont="1" applyAlignment="1">
      <alignment horizontal="center" vertical="center"/>
    </xf>
    <xf numFmtId="0" fontId="1" fillId="2" borderId="0" xfId="0" applyFont="1" applyFill="1" applyAlignment="1">
      <alignment horizontal="right" vertical="center"/>
    </xf>
    <xf numFmtId="0" fontId="1" fillId="2" borderId="0" xfId="0" applyFont="1" applyFill="1" applyAlignment="1">
      <alignment horizontal="left" wrapText="1"/>
    </xf>
    <xf numFmtId="9" fontId="1" fillId="2" borderId="0" xfId="3" applyFont="1" applyFill="1" applyAlignment="1">
      <alignment horizontal="left" wrapText="1"/>
    </xf>
    <xf numFmtId="0" fontId="0" fillId="15" borderId="9" xfId="0" applyFill="1" applyBorder="1" applyProtection="1">
      <protection locked="0"/>
    </xf>
    <xf numFmtId="0" fontId="29" fillId="14" borderId="0" xfId="0" applyFont="1" applyFill="1" applyAlignment="1">
      <alignment horizontal="left" vertical="center" wrapText="1" indent="1"/>
    </xf>
    <xf numFmtId="0" fontId="20" fillId="7" borderId="0" xfId="0" applyFont="1" applyFill="1" applyAlignment="1">
      <alignment horizontal="left" vertical="center"/>
    </xf>
    <xf numFmtId="0" fontId="17" fillId="11" borderId="0" xfId="0" applyFont="1" applyFill="1" applyAlignment="1">
      <alignment horizontal="left" vertical="center" wrapText="1"/>
    </xf>
    <xf numFmtId="0" fontId="13" fillId="7" borderId="0" xfId="0" applyFont="1" applyFill="1" applyAlignment="1">
      <alignment horizontal="left" vertical="center"/>
    </xf>
    <xf numFmtId="0" fontId="29" fillId="14" borderId="0" xfId="0" applyFont="1" applyFill="1" applyAlignment="1">
      <alignment horizontal="left" vertical="center" wrapText="1"/>
    </xf>
    <xf numFmtId="0" fontId="15" fillId="2" borderId="5" xfId="0" applyFont="1" applyFill="1" applyBorder="1" applyAlignment="1">
      <alignment horizontal="right" vertical="center" wrapText="1"/>
    </xf>
    <xf numFmtId="0" fontId="15" fillId="2" borderId="6" xfId="0" applyFont="1" applyFill="1" applyBorder="1" applyAlignment="1">
      <alignment horizontal="right" vertical="center" wrapText="1"/>
    </xf>
    <xf numFmtId="0" fontId="29" fillId="14" borderId="0" xfId="0" applyFont="1" applyFill="1" applyAlignment="1">
      <alignment horizontal="left" vertical="top" wrapText="1" indent="1"/>
    </xf>
    <xf numFmtId="0" fontId="28" fillId="14" borderId="0" xfId="0" applyFont="1" applyFill="1" applyAlignment="1">
      <alignment horizontal="left" vertical="center" wrapText="1"/>
    </xf>
    <xf numFmtId="0" fontId="19" fillId="8" borderId="5" xfId="0" applyFont="1" applyFill="1" applyBorder="1" applyAlignment="1" applyProtection="1">
      <alignment horizontal="left" vertical="center"/>
      <protection locked="0"/>
    </xf>
    <xf numFmtId="0" fontId="19" fillId="8" borderId="8" xfId="0" applyFont="1" applyFill="1" applyBorder="1" applyAlignment="1" applyProtection="1">
      <alignment horizontal="left" vertical="center"/>
      <protection locked="0"/>
    </xf>
    <xf numFmtId="0" fontId="19" fillId="8" borderId="6" xfId="0" applyFont="1" applyFill="1" applyBorder="1" applyAlignment="1" applyProtection="1">
      <alignment horizontal="left" vertical="center"/>
      <protection locked="0"/>
    </xf>
    <xf numFmtId="0" fontId="28" fillId="7" borderId="0" xfId="0" applyFont="1" applyFill="1" applyAlignment="1">
      <alignment horizontal="center" vertical="center" wrapText="1"/>
    </xf>
    <xf numFmtId="14" fontId="19" fillId="8" borderId="5" xfId="0" applyNumberFormat="1" applyFont="1" applyFill="1" applyBorder="1" applyAlignment="1" applyProtection="1">
      <alignment horizontal="center" vertical="center"/>
      <protection locked="0"/>
    </xf>
    <xf numFmtId="14" fontId="19" fillId="8" borderId="8" xfId="0" applyNumberFormat="1" applyFont="1" applyFill="1" applyBorder="1" applyAlignment="1" applyProtection="1">
      <alignment horizontal="center" vertical="center"/>
      <protection locked="0"/>
    </xf>
    <xf numFmtId="14" fontId="19" fillId="8" borderId="6" xfId="0" applyNumberFormat="1" applyFont="1" applyFill="1" applyBorder="1" applyAlignment="1" applyProtection="1">
      <alignment horizontal="center" vertical="center"/>
      <protection locked="0"/>
    </xf>
    <xf numFmtId="0" fontId="41" fillId="2" borderId="5" xfId="0" applyFont="1" applyFill="1" applyBorder="1" applyAlignment="1">
      <alignment horizontal="left" vertical="center"/>
    </xf>
    <xf numFmtId="0" fontId="41" fillId="2" borderId="8" xfId="0" applyFont="1" applyFill="1" applyBorder="1" applyAlignment="1">
      <alignment horizontal="left" vertical="center"/>
    </xf>
    <xf numFmtId="0" fontId="41" fillId="2" borderId="6" xfId="0" applyFont="1" applyFill="1" applyBorder="1" applyAlignment="1">
      <alignment horizontal="left" vertical="center"/>
    </xf>
    <xf numFmtId="0" fontId="41" fillId="2" borderId="9" xfId="0" applyFont="1" applyFill="1" applyBorder="1" applyAlignment="1">
      <alignment horizontal="left" vertical="center" wrapText="1"/>
    </xf>
    <xf numFmtId="0" fontId="33" fillId="9" borderId="5" xfId="0" applyFont="1" applyFill="1" applyBorder="1" applyAlignment="1" applyProtection="1">
      <alignment horizontal="left" vertical="center"/>
      <protection locked="0"/>
    </xf>
    <xf numFmtId="0" fontId="33" fillId="9" borderId="8" xfId="0" applyFont="1" applyFill="1" applyBorder="1" applyAlignment="1" applyProtection="1">
      <alignment horizontal="left" vertical="center"/>
      <protection locked="0"/>
    </xf>
    <xf numFmtId="0" fontId="33" fillId="9" borderId="6" xfId="0" applyFont="1" applyFill="1" applyBorder="1" applyAlignment="1" applyProtection="1">
      <alignment horizontal="left" vertical="center"/>
      <protection locked="0"/>
    </xf>
    <xf numFmtId="0" fontId="33" fillId="9" borderId="9" xfId="0" applyFont="1" applyFill="1" applyBorder="1" applyAlignment="1" applyProtection="1">
      <alignment horizontal="left" vertical="center"/>
      <protection locked="0"/>
    </xf>
    <xf numFmtId="14" fontId="19" fillId="8" borderId="5" xfId="0" applyNumberFormat="1" applyFont="1" applyFill="1" applyBorder="1" applyAlignment="1" applyProtection="1">
      <alignment horizontal="left" vertical="center"/>
      <protection locked="0"/>
    </xf>
    <xf numFmtId="14" fontId="19" fillId="8" borderId="8" xfId="0" applyNumberFormat="1" applyFont="1" applyFill="1" applyBorder="1" applyAlignment="1" applyProtection="1">
      <alignment horizontal="left" vertical="center"/>
      <protection locked="0"/>
    </xf>
    <xf numFmtId="14" fontId="19" fillId="8" borderId="6" xfId="0" applyNumberFormat="1" applyFont="1" applyFill="1" applyBorder="1" applyAlignment="1" applyProtection="1">
      <alignment horizontal="left" vertical="center"/>
      <protection locked="0"/>
    </xf>
  </cellXfs>
  <cellStyles count="4">
    <cellStyle name="Accent1" xfId="1" builtinId="29"/>
    <cellStyle name="Hyperlink" xfId="2" builtinId="8"/>
    <cellStyle name="Normal" xfId="0" builtinId="0"/>
    <cellStyle name="Per cent" xfId="3" builtinId="5"/>
  </cellStyles>
  <dxfs count="108">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dxf>
    <dxf>
      <fill>
        <patternFill patternType="solid">
          <bgColor rgb="FFFFFF00"/>
        </patternFill>
      </fill>
    </dxf>
    <dxf>
      <fill>
        <patternFill patternType="solid">
          <bgColor rgb="FFBFBFBF"/>
        </patternFill>
      </fill>
    </dxf>
    <dxf>
      <font>
        <color rgb="FF003E71"/>
      </font>
      <fill>
        <patternFill patternType="solid">
          <bgColor rgb="FFFFFFFF"/>
        </patternFill>
      </fill>
    </dxf>
    <dxf>
      <fill>
        <patternFill patternType="solid">
          <bgColor rgb="FFFFFF00"/>
        </patternFill>
      </fill>
    </dxf>
    <dxf>
      <fill>
        <patternFill patternType="solid">
          <bgColor rgb="FFBFBFBF"/>
        </patternFill>
      </fill>
    </dxf>
    <dxf>
      <font>
        <color rgb="FF003E71"/>
      </font>
      <fill>
        <patternFill patternType="solid">
          <bgColor rgb="FFFFFFFF"/>
        </patternFill>
      </fill>
    </dxf>
    <dxf>
      <fill>
        <patternFill patternType="solid">
          <bgColor rgb="FFFFFF00"/>
        </patternFill>
      </fill>
    </dxf>
    <dxf>
      <fill>
        <patternFill patternType="solid">
          <bgColor rgb="FFFFFF00"/>
        </patternFill>
      </fill>
    </dxf>
    <dxf>
      <fill>
        <patternFill patternType="solid">
          <bgColor rgb="FFFFFF00"/>
        </patternFill>
      </fill>
    </dxf>
    <dxf>
      <font>
        <color rgb="FF003E71"/>
      </font>
      <fill>
        <patternFill patternType="solid">
          <bgColor rgb="FFFFFFFF"/>
        </patternFill>
      </fill>
    </dxf>
    <dxf>
      <fill>
        <patternFill patternType="solid">
          <bgColor rgb="FFBFBFBF"/>
        </patternFill>
      </fill>
    </dxf>
    <dxf>
      <fill>
        <patternFill patternType="solid">
          <bgColor rgb="FFFFFF00"/>
        </patternFill>
      </fill>
    </dxf>
    <dxf>
      <font>
        <color rgb="FF003E71"/>
      </font>
      <fill>
        <patternFill patternType="solid">
          <bgColor rgb="FFFFFFFF"/>
        </patternFill>
      </fill>
    </dxf>
    <dxf>
      <fill>
        <patternFill patternType="solid">
          <bgColor rgb="FFBFBFBF"/>
        </patternFill>
      </fill>
    </dxf>
    <dxf>
      <fill>
        <patternFill patternType="solid">
          <bgColor rgb="FFFFFF00"/>
        </patternFill>
      </fill>
    </dxf>
    <dxf>
      <fill>
        <patternFill patternType="solid">
          <bgColor rgb="FFBFBFBF"/>
        </patternFill>
      </fill>
    </dxf>
    <dxf>
      <font>
        <color rgb="FF003E71"/>
      </font>
      <fill>
        <patternFill patternType="solid">
          <bgColor rgb="FFFFFFFF"/>
        </patternFill>
      </fill>
    </dxf>
    <dxf>
      <fill>
        <patternFill patternType="solid">
          <bgColor rgb="FFBFBFBF"/>
        </patternFill>
      </fill>
    </dxf>
    <dxf>
      <font>
        <color rgb="FF003E71"/>
      </font>
      <fill>
        <patternFill patternType="solid">
          <bgColor rgb="FFFFFFFF"/>
        </patternFill>
      </fill>
    </dxf>
    <dxf>
      <fill>
        <patternFill patternType="solid">
          <bgColor rgb="FFFFFF00"/>
        </patternFill>
      </fill>
    </dxf>
    <dxf>
      <font>
        <color rgb="FF003E71"/>
      </font>
      <fill>
        <patternFill patternType="solid">
          <bgColor rgb="FFFFFFFF"/>
        </patternFill>
      </fill>
    </dxf>
    <dxf>
      <fill>
        <patternFill patternType="solid">
          <bgColor rgb="FFBFBFBF"/>
        </patternFill>
      </fill>
    </dxf>
    <dxf>
      <fill>
        <patternFill patternType="solid">
          <bgColor rgb="FFFFFF00"/>
        </patternFill>
      </fill>
    </dxf>
    <dxf>
      <fill>
        <patternFill patternType="solid">
          <bgColor rgb="FFFFFF00"/>
        </patternFill>
      </fill>
    </dxf>
    <dxf>
      <fill>
        <patternFill patternType="solid">
          <bgColor rgb="FFBFBFBF"/>
        </patternFill>
      </fill>
    </dxf>
    <dxf>
      <font>
        <color rgb="FF003E71"/>
      </font>
      <fill>
        <patternFill patternType="solid">
          <bgColor rgb="FFFFFFFF"/>
        </patternFill>
      </fill>
    </dxf>
    <dxf>
      <font>
        <color rgb="FF003E71"/>
      </font>
      <fill>
        <patternFill patternType="solid">
          <bgColor rgb="FFFFFFFF"/>
        </patternFill>
      </fill>
    </dxf>
    <dxf>
      <fill>
        <patternFill patternType="solid">
          <bgColor rgb="FFBFBFBF"/>
        </patternFill>
      </fill>
    </dxf>
    <dxf>
      <fill>
        <patternFill patternType="solid">
          <bgColor rgb="FFFFFF00"/>
        </patternFill>
      </fill>
    </dxf>
    <dxf>
      <fill>
        <patternFill patternType="solid">
          <bgColor rgb="FFFFFF00"/>
        </patternFill>
      </fill>
    </dxf>
    <dxf>
      <fill>
        <patternFill patternType="solid">
          <bgColor rgb="FFBFBFBF"/>
        </patternFill>
      </fill>
    </dxf>
    <dxf>
      <font>
        <color rgb="FF003E71"/>
      </font>
      <fill>
        <patternFill patternType="solid">
          <bgColor rgb="FFFFFFFF"/>
        </patternFill>
      </fill>
    </dxf>
    <dxf>
      <fill>
        <patternFill>
          <bgColor theme="0"/>
        </patternFill>
      </fill>
    </dxf>
    <dxf>
      <fill>
        <patternFill>
          <bgColor theme="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BFBFBF"/>
        </patternFill>
      </fill>
    </dxf>
    <dxf>
      <font>
        <color rgb="FF003E71"/>
      </font>
      <fill>
        <patternFill patternType="solid">
          <bgColor rgb="FFFFFFFF"/>
        </patternFill>
      </fill>
    </dxf>
    <dxf>
      <fill>
        <patternFill patternType="solid">
          <bgColor rgb="FFFFFF00"/>
        </patternFill>
      </fill>
    </dxf>
    <dxf>
      <font>
        <color rgb="FF003E71"/>
      </font>
      <fill>
        <patternFill patternType="solid">
          <bgColor rgb="FFFFFFFF"/>
        </patternFill>
      </fill>
    </dxf>
    <dxf>
      <fill>
        <patternFill patternType="solid">
          <bgColor rgb="FFBFBFBF"/>
        </patternFill>
      </fill>
    </dxf>
    <dxf>
      <fill>
        <patternFill patternType="solid">
          <bgColor rgb="FFFFFF00"/>
        </patternFill>
      </fill>
    </dxf>
    <dxf>
      <font>
        <color rgb="FF003E71"/>
      </font>
      <fill>
        <patternFill patternType="solid">
          <bgColor rgb="FFFFFFFF"/>
        </patternFill>
      </fill>
    </dxf>
    <dxf>
      <fill>
        <patternFill patternType="solid">
          <bgColor rgb="FFBFBFBF"/>
        </patternFill>
      </fill>
    </dxf>
    <dxf>
      <fill>
        <patternFill patternType="solid">
          <bgColor rgb="FFFFFF00"/>
        </patternFill>
      </fill>
    </dxf>
    <dxf>
      <font>
        <color rgb="FF003E71"/>
      </font>
      <fill>
        <patternFill patternType="solid">
          <bgColor rgb="FFFFFFFF"/>
        </patternFill>
      </fill>
    </dxf>
    <dxf>
      <fill>
        <patternFill patternType="solid">
          <bgColor rgb="FFBFBFBF"/>
        </patternFill>
      </fill>
    </dxf>
    <dxf>
      <fill>
        <patternFill patternType="solid">
          <bgColor rgb="FFFFFF00"/>
        </patternFill>
      </fill>
    </dxf>
    <dxf>
      <font>
        <color rgb="FF9C0006"/>
      </font>
      <fill>
        <patternFill>
          <bgColor rgb="FFFFC7CE"/>
        </patternFill>
      </fill>
    </dxf>
    <dxf>
      <fill>
        <patternFill patternType="solid">
          <bgColor rgb="FFFFFF00"/>
        </patternFill>
      </fill>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rgb="FF003E71"/>
      </font>
      <fill>
        <patternFill patternType="solid">
          <bgColor rgb="FFFFFFFF"/>
        </patternFill>
      </fill>
    </dxf>
    <dxf>
      <fill>
        <patternFill patternType="solid">
          <bgColor rgb="FFBFBFBF"/>
        </patternFill>
      </fill>
    </dxf>
    <dxf>
      <fill>
        <patternFill patternType="solid">
          <bgColor rgb="FFFFFF00"/>
        </patternFill>
      </fill>
    </dxf>
    <dxf>
      <fill>
        <patternFill patternType="solid">
          <bgColor rgb="FFFFFF00"/>
        </patternFill>
      </fill>
    </dxf>
    <dxf>
      <fill>
        <patternFill patternType="solid">
          <bgColor rgb="FFBFBFBF"/>
        </patternFill>
      </fill>
    </dxf>
    <dxf>
      <font>
        <color rgb="FF003E71"/>
      </font>
      <fill>
        <patternFill patternType="solid">
          <bgColor rgb="FFFFFFFF"/>
        </patternFill>
      </fill>
    </dxf>
    <dxf>
      <fill>
        <patternFill patternType="solid">
          <bgColor rgb="FFBFBFBF"/>
        </patternFill>
      </fill>
    </dxf>
    <dxf>
      <fill>
        <patternFill patternType="solid">
          <bgColor rgb="FFFFFF00"/>
        </patternFill>
      </fill>
    </dxf>
    <dxf>
      <font>
        <color rgb="FF003E71"/>
      </font>
      <fill>
        <patternFill patternType="solid">
          <bgColor rgb="FFFFFFFF"/>
        </patternFill>
      </fill>
    </dxf>
    <dxf>
      <fill>
        <patternFill patternType="solid">
          <bgColor rgb="FFFFFF00"/>
        </patternFill>
      </fill>
    </dxf>
    <dxf>
      <fill>
        <patternFill patternType="solid">
          <bgColor rgb="FFBFBFBF"/>
        </patternFill>
      </fill>
    </dxf>
    <dxf>
      <font>
        <color rgb="FF003E71"/>
      </font>
      <fill>
        <patternFill patternType="solid">
          <bgColor rgb="FFFFFFFF"/>
        </patternFill>
      </fill>
    </dxf>
    <dxf>
      <fill>
        <patternFill patternType="solid">
          <bgColor rgb="FFFFFF00"/>
        </patternFill>
      </fill>
    </dxf>
    <dxf>
      <font>
        <color rgb="FF9C0006"/>
      </font>
      <fill>
        <patternFill>
          <bgColor rgb="FFFFC7CE"/>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bgColor theme="0"/>
        </patternFill>
      </fill>
    </dxf>
    <dxf>
      <fill>
        <patternFill patternType="solid">
          <bgColor rgb="FFFFFF00"/>
        </patternFill>
      </fill>
    </dxf>
    <dxf>
      <fill>
        <patternFill>
          <bgColor rgb="FFFFFF00"/>
        </patternFill>
      </fill>
    </dxf>
    <dxf>
      <font>
        <color theme="4" tint="0.39994506668294322"/>
      </font>
      <fill>
        <patternFill>
          <bgColor theme="4" tint="0.39994506668294322"/>
        </patternFill>
      </fill>
    </dxf>
    <dxf>
      <font>
        <color theme="4" tint="0.39994506668294322"/>
      </font>
      <fill>
        <patternFill>
          <bgColor theme="4" tint="0.39994506668294322"/>
        </patternFill>
      </fill>
    </dxf>
    <dxf>
      <font>
        <color theme="4" tint="0.39994506668294322"/>
      </font>
      <fill>
        <patternFill>
          <bgColor theme="4" tint="0.39994506668294322"/>
        </patternFill>
      </fill>
    </dxf>
    <dxf>
      <font>
        <color theme="4" tint="0.39994506668294322"/>
      </font>
      <fill>
        <patternFill>
          <bgColor theme="4" tint="0.39994506668294322"/>
        </patternFill>
      </fill>
    </dxf>
    <dxf>
      <font>
        <color theme="4" tint="0.39994506668294322"/>
      </font>
      <fill>
        <patternFill>
          <bgColor theme="4" tint="0.39994506668294322"/>
        </patternFill>
      </fill>
      <border>
        <left/>
        <right/>
        <top/>
        <bottom/>
      </border>
    </dxf>
    <dxf>
      <font>
        <color theme="4" tint="0.39994506668294322"/>
      </font>
      <fill>
        <patternFill>
          <bgColor theme="4" tint="0.39994506668294322"/>
        </patternFill>
      </fill>
      <border>
        <left/>
        <right/>
        <top/>
        <bottom/>
      </border>
    </dxf>
    <dxf>
      <font>
        <color theme="4" tint="0.39994506668294322"/>
      </font>
      <fill>
        <patternFill>
          <bgColor theme="4" tint="0.39994506668294322"/>
        </patternFill>
      </fill>
      <border>
        <left/>
        <right/>
        <top/>
        <bottom/>
      </border>
    </dxf>
    <dxf>
      <font>
        <color theme="0"/>
      </font>
      <fill>
        <patternFill>
          <fgColor theme="0"/>
          <bgColor theme="0"/>
        </patternFill>
      </fill>
    </dxf>
    <dxf>
      <fill>
        <patternFill>
          <bgColor rgb="FFFFFF00"/>
        </patternFill>
      </fill>
    </dxf>
    <dxf>
      <font>
        <color theme="0"/>
      </font>
      <fill>
        <patternFill>
          <bgColor theme="0"/>
        </patternFill>
      </fill>
      <border>
        <left/>
        <right/>
        <top/>
        <bottom/>
        <vertical/>
        <horizontal/>
      </border>
    </dxf>
    <dxf>
      <font>
        <color theme="0"/>
      </font>
      <fill>
        <patternFill>
          <bgColor theme="0"/>
        </patternFill>
      </fill>
      <border>
        <left/>
        <right/>
        <top/>
        <bottom/>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rgb="FF014E8F"/>
      </font>
      <fill>
        <patternFill>
          <bgColor rgb="FF014E8F"/>
        </patternFill>
      </fill>
    </dxf>
    <dxf>
      <font>
        <color rgb="FF014E8F"/>
      </font>
      <fill>
        <patternFill>
          <bgColor rgb="FF014E8F"/>
        </patternFill>
      </fill>
    </dxf>
    <dxf>
      <font>
        <color rgb="FF014E8F"/>
      </font>
      <fill>
        <patternFill>
          <bgColor rgb="FF014E8F"/>
        </patternFill>
      </fill>
    </dxf>
    <dxf>
      <font>
        <color rgb="FF014E8F"/>
      </font>
      <fill>
        <patternFill>
          <bgColor rgb="FF014E8F"/>
        </patternFill>
      </fill>
    </dxf>
    <dxf>
      <font>
        <color rgb="FF014E8F"/>
      </font>
      <fill>
        <patternFill>
          <bgColor rgb="FF014E8F"/>
        </patternFill>
      </fill>
    </dxf>
    <dxf>
      <font>
        <color rgb="FF014E8F"/>
      </font>
      <fill>
        <patternFill>
          <bgColor rgb="FF014E8F"/>
        </patternFill>
      </fill>
    </dxf>
  </dxfs>
  <tableStyles count="0" defaultTableStyle="TableStyleMedium9" defaultPivotStyle="PivotStyleLight16"/>
  <colors>
    <mruColors>
      <color rgb="FFF5FF76"/>
      <color rgb="FF0073CF"/>
      <color rgb="FF014E8F"/>
      <color rgb="FF003E71"/>
      <color rgb="FF69ADE4"/>
      <color rgb="FF097737"/>
      <color rgb="FFAEC97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2</xdr:col>
      <xdr:colOff>203200</xdr:colOff>
      <xdr:row>25</xdr:row>
      <xdr:rowOff>33868</xdr:rowOff>
    </xdr:from>
    <xdr:ext cx="1741141" cy="500297"/>
    <xdr:pic>
      <xdr:nvPicPr>
        <xdr:cNvPr id="3" name="Picture 1" descr="University of Cambridge shield and text" title="University of Cambridge logo">
          <a:extLst>
            <a:ext uri="{FF2B5EF4-FFF2-40B4-BE49-F238E27FC236}">
              <a16:creationId xmlns:a16="http://schemas.microsoft.com/office/drawing/2014/main" id="{00000000-0008-0000-0000-000002000000}"/>
            </a:ext>
          </a:extLst>
        </xdr:cNvPr>
        <xdr:cNvPicPr>
          <a:picLocks noChangeAspect="1"/>
        </xdr:cNvPicPr>
      </xdr:nvPicPr>
      <xdr:blipFill rotWithShape="1">
        <a:blip xmlns:r="http://schemas.openxmlformats.org/officeDocument/2006/relationships" r:embed="rId1" cstate="email">
          <a:extLst>
            <a:ext uri="{28A0092B-C50C-407E-A947-70E740481C1C}">
              <a14:useLocalDpi xmlns:a14="http://schemas.microsoft.com/office/drawing/2010/main"/>
            </a:ext>
          </a:extLst>
        </a:blip>
        <a:srcRect/>
        <a:stretch/>
      </xdr:blipFill>
      <xdr:spPr>
        <a:xfrm>
          <a:off x="457200" y="6705601"/>
          <a:ext cx="1741141" cy="500297"/>
        </a:xfrm>
        <a:prstGeom prst="rect">
          <a:avLst/>
        </a:prstGeom>
      </xdr:spPr>
    </xdr:pic>
    <xdr:clientData/>
  </xdr:one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s://forms.office.com/Pages/ResponsePage.aspx?id=RQSlSfq9eUut41R7TzmG6Zfytc8PxMRCnnfgpfgmm9BUMjFaUU1aVDkzN0lUVExSS0tIUUJJVlBNSSQlQCN0PWcu"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64C939-A578-C442-B147-B6242FD26C7F}">
  <sheetPr codeName="Sheet1">
    <pageSetUpPr fitToPage="1"/>
  </sheetPr>
  <dimension ref="A1:BV94"/>
  <sheetViews>
    <sheetView tabSelected="1" topLeftCell="A2" zoomScale="69" zoomScaleNormal="70" workbookViewId="0">
      <selection activeCell="T67" sqref="T67"/>
    </sheetView>
  </sheetViews>
  <sheetFormatPr baseColWidth="10" defaultColWidth="0" defaultRowHeight="0" customHeight="1" zeroHeight="1" x14ac:dyDescent="0.2"/>
  <cols>
    <col min="1" max="1" width="3.5" style="82" customWidth="1"/>
    <col min="2" max="2" width="3.33203125" style="1" customWidth="1"/>
    <col min="3" max="3" width="35.6640625" style="1" customWidth="1"/>
    <col min="4" max="4" width="7.6640625" style="1" customWidth="1"/>
    <col min="5" max="5" width="30.33203125" style="1" customWidth="1"/>
    <col min="6" max="6" width="4.83203125" style="1" customWidth="1"/>
    <col min="7" max="7" width="24" style="1" customWidth="1"/>
    <col min="8" max="8" width="5.5" style="1" customWidth="1"/>
    <col min="9" max="9" width="25.6640625" style="1" customWidth="1"/>
    <col min="10" max="10" width="6.83203125" style="1" customWidth="1"/>
    <col min="11" max="11" width="25.1640625" style="1" customWidth="1"/>
    <col min="12" max="12" width="4.5" style="1" customWidth="1"/>
    <col min="13" max="13" width="16" style="1" customWidth="1"/>
    <col min="14" max="14" width="5.6640625" style="1" customWidth="1"/>
    <col min="15" max="15" width="1.1640625" style="1" customWidth="1"/>
    <col min="16" max="16" width="7.1640625" style="1" customWidth="1"/>
    <col min="17" max="18" width="4.5" style="1" customWidth="1"/>
    <col min="19" max="19" width="4.5" style="82" customWidth="1"/>
    <col min="20" max="20" width="149.33203125" style="93" customWidth="1"/>
    <col min="21" max="21" width="11" style="1" customWidth="1"/>
    <col min="22" max="74" width="0" style="1" hidden="1" customWidth="1"/>
    <col min="75" max="16384" width="11" style="1" hidden="1"/>
  </cols>
  <sheetData>
    <row r="1" spans="1:20" ht="30" customHeight="1" x14ac:dyDescent="0.2">
      <c r="B1" s="127"/>
      <c r="C1" s="160" t="s">
        <v>0</v>
      </c>
      <c r="D1" s="160"/>
      <c r="E1" s="160"/>
      <c r="F1" s="160"/>
      <c r="G1" s="160"/>
      <c r="H1" s="160"/>
      <c r="I1" s="160"/>
      <c r="J1" s="160"/>
      <c r="K1" s="160"/>
      <c r="L1" s="160"/>
      <c r="M1" s="160"/>
      <c r="N1" s="160"/>
      <c r="O1" s="160"/>
      <c r="P1" s="160"/>
      <c r="Q1" s="160"/>
      <c r="R1" s="127"/>
      <c r="S1" s="85"/>
      <c r="T1" s="114" t="s">
        <v>1</v>
      </c>
    </row>
    <row r="2" spans="1:20" ht="20" customHeight="1" x14ac:dyDescent="0.2">
      <c r="B2" s="128"/>
      <c r="C2" s="128"/>
      <c r="D2" s="128"/>
      <c r="E2" s="128"/>
      <c r="F2" s="128"/>
      <c r="G2" s="128"/>
      <c r="H2" s="128"/>
      <c r="I2" s="128"/>
      <c r="J2" s="128"/>
      <c r="K2" s="128"/>
      <c r="L2" s="128"/>
      <c r="M2" s="128"/>
      <c r="N2" s="128"/>
      <c r="O2" s="128"/>
      <c r="P2" s="128"/>
      <c r="Q2" s="128"/>
      <c r="R2" s="128"/>
      <c r="S2" s="85"/>
      <c r="T2" s="115" t="s">
        <v>2</v>
      </c>
    </row>
    <row r="3" spans="1:20" s="17" customFormat="1" ht="108.75" customHeight="1" x14ac:dyDescent="0.15">
      <c r="A3" s="83"/>
      <c r="B3" s="129"/>
      <c r="C3" s="111" t="s">
        <v>3</v>
      </c>
      <c r="D3" s="111"/>
      <c r="E3" s="111"/>
      <c r="F3" s="111"/>
      <c r="G3" s="111"/>
      <c r="H3" s="111"/>
      <c r="I3" s="111"/>
      <c r="J3" s="111"/>
      <c r="K3" s="111"/>
      <c r="L3" s="111"/>
      <c r="M3" s="111"/>
      <c r="N3" s="111"/>
      <c r="O3" s="111"/>
      <c r="P3" s="111"/>
      <c r="Q3" s="111"/>
      <c r="R3" s="129"/>
      <c r="S3" s="86"/>
      <c r="T3" s="159" t="s">
        <v>4</v>
      </c>
    </row>
    <row r="4" spans="1:20" ht="23" customHeight="1" x14ac:dyDescent="0.2">
      <c r="B4" s="128"/>
      <c r="C4" s="89" t="s">
        <v>5</v>
      </c>
      <c r="D4" s="89"/>
      <c r="E4" s="90" t="s">
        <v>6</v>
      </c>
      <c r="F4" s="89"/>
      <c r="G4" s="91" t="s">
        <v>7</v>
      </c>
      <c r="H4" s="89"/>
      <c r="I4" s="90" t="s">
        <v>8</v>
      </c>
      <c r="J4" s="89"/>
      <c r="K4" s="90" t="s">
        <v>9</v>
      </c>
      <c r="L4" s="89"/>
      <c r="M4" s="89"/>
      <c r="N4" s="89"/>
      <c r="O4" s="89"/>
      <c r="P4" s="89"/>
      <c r="Q4" s="89"/>
      <c r="R4" s="128"/>
      <c r="S4" s="85"/>
      <c r="T4" s="159"/>
    </row>
    <row r="5" spans="1:20" ht="28" customHeight="1" x14ac:dyDescent="0.2">
      <c r="B5" s="128"/>
      <c r="C5" s="89"/>
      <c r="D5" s="89"/>
      <c r="E5" s="90"/>
      <c r="F5" s="89"/>
      <c r="G5" s="91" t="s">
        <v>10</v>
      </c>
      <c r="H5" s="89"/>
      <c r="I5" s="89"/>
      <c r="J5" s="89"/>
      <c r="K5" s="89"/>
      <c r="L5" s="89"/>
      <c r="M5" s="89"/>
      <c r="N5" s="89"/>
      <c r="O5" s="89"/>
      <c r="P5" s="89"/>
      <c r="Q5" s="89"/>
      <c r="R5" s="128"/>
      <c r="S5" s="85"/>
      <c r="T5" s="159"/>
    </row>
    <row r="6" spans="1:20" ht="5" customHeight="1" thickBot="1" x14ac:dyDescent="0.25">
      <c r="B6" s="128"/>
      <c r="C6" s="22"/>
      <c r="D6" s="22"/>
      <c r="E6" s="23"/>
      <c r="F6" s="22"/>
      <c r="G6" s="23"/>
      <c r="H6" s="22"/>
      <c r="I6" s="22"/>
      <c r="J6" s="22"/>
      <c r="K6" s="22"/>
      <c r="L6" s="22"/>
      <c r="M6" s="22"/>
      <c r="N6" s="22"/>
      <c r="O6" s="22"/>
      <c r="P6" s="22"/>
      <c r="Q6" s="22"/>
      <c r="R6" s="128"/>
      <c r="S6" s="85"/>
      <c r="T6" s="159"/>
    </row>
    <row r="7" spans="1:20" ht="35" customHeight="1" thickTop="1" thickBot="1" x14ac:dyDescent="0.25">
      <c r="B7" s="128"/>
      <c r="C7" s="22"/>
      <c r="D7" s="22"/>
      <c r="E7" s="97" t="s">
        <v>32</v>
      </c>
      <c r="F7" s="98"/>
      <c r="G7" s="97" t="s">
        <v>22</v>
      </c>
      <c r="H7" s="98"/>
      <c r="I7" s="97" t="s">
        <v>13</v>
      </c>
      <c r="J7" s="98"/>
      <c r="K7" s="97" t="s">
        <v>14</v>
      </c>
      <c r="L7" s="22"/>
      <c r="M7" s="22"/>
      <c r="N7" s="22"/>
      <c r="O7" s="22"/>
      <c r="P7" s="22"/>
      <c r="Q7" s="22"/>
      <c r="R7" s="128"/>
      <c r="S7" s="85"/>
      <c r="T7" s="159"/>
    </row>
    <row r="8" spans="1:20" s="126" customFormat="1" ht="53" customHeight="1" thickTop="1" x14ac:dyDescent="0.15">
      <c r="A8" s="122"/>
      <c r="B8" s="130"/>
      <c r="C8" s="123"/>
      <c r="D8" s="123"/>
      <c r="E8" s="123"/>
      <c r="F8" s="123"/>
      <c r="G8" s="124" t="s">
        <v>15</v>
      </c>
      <c r="H8" s="123"/>
      <c r="I8" s="123"/>
      <c r="J8" s="123"/>
      <c r="K8" s="123"/>
      <c r="L8" s="123"/>
      <c r="M8" s="123"/>
      <c r="N8" s="123"/>
      <c r="O8" s="123"/>
      <c r="P8" s="123"/>
      <c r="Q8" s="123"/>
      <c r="R8" s="130"/>
      <c r="S8" s="125"/>
      <c r="T8" s="159"/>
    </row>
    <row r="9" spans="1:20" ht="16" customHeight="1" x14ac:dyDescent="0.2">
      <c r="B9" s="128"/>
      <c r="C9" s="22"/>
      <c r="D9" s="22"/>
      <c r="E9" s="121" t="s">
        <v>16</v>
      </c>
      <c r="F9" s="98"/>
      <c r="G9" s="98"/>
      <c r="H9" s="98"/>
      <c r="I9" s="98"/>
      <c r="J9" s="98"/>
      <c r="K9" s="98"/>
      <c r="L9" s="22"/>
      <c r="M9" s="22"/>
      <c r="N9" s="22"/>
      <c r="O9" s="22"/>
      <c r="P9" s="22"/>
      <c r="Q9" s="22"/>
      <c r="R9" s="128"/>
      <c r="S9" s="85"/>
      <c r="T9" s="159"/>
    </row>
    <row r="10" spans="1:20" ht="15" customHeight="1" thickBot="1" x14ac:dyDescent="0.25">
      <c r="B10" s="128"/>
      <c r="C10" s="22"/>
      <c r="D10" s="22"/>
      <c r="E10" s="98"/>
      <c r="F10" s="98"/>
      <c r="G10" s="98"/>
      <c r="H10" s="98"/>
      <c r="I10" s="98"/>
      <c r="J10" s="98"/>
      <c r="K10" s="98"/>
      <c r="L10" s="22"/>
      <c r="M10" s="22"/>
      <c r="N10" s="22"/>
      <c r="O10" s="22"/>
      <c r="P10" s="22"/>
      <c r="Q10" s="22"/>
      <c r="R10" s="128"/>
      <c r="S10" s="85"/>
      <c r="T10" s="159"/>
    </row>
    <row r="11" spans="1:20" ht="47" customHeight="1" thickTop="1" thickBot="1" x14ac:dyDescent="0.25">
      <c r="B11" s="128"/>
      <c r="C11" s="22"/>
      <c r="D11" s="22"/>
      <c r="E11" s="97"/>
      <c r="F11" s="98"/>
      <c r="G11" s="98"/>
      <c r="H11" s="98"/>
      <c r="I11" s="98"/>
      <c r="J11" s="98"/>
      <c r="K11" s="98"/>
      <c r="L11" s="22"/>
      <c r="M11" s="22"/>
      <c r="N11" s="22"/>
      <c r="O11" s="22"/>
      <c r="P11" s="22"/>
      <c r="Q11" s="22"/>
      <c r="R11" s="128"/>
      <c r="S11" s="85"/>
      <c r="T11" s="159"/>
    </row>
    <row r="12" spans="1:20" ht="29" customHeight="1" thickTop="1" x14ac:dyDescent="0.2">
      <c r="B12" s="128"/>
      <c r="C12" s="22"/>
      <c r="D12" s="22"/>
      <c r="E12" s="22"/>
      <c r="F12" s="22"/>
      <c r="G12" s="22"/>
      <c r="H12" s="22"/>
      <c r="I12" s="22"/>
      <c r="J12" s="22"/>
      <c r="K12" s="22"/>
      <c r="L12" s="22"/>
      <c r="M12" s="22"/>
      <c r="N12" s="22"/>
      <c r="O12" s="22"/>
      <c r="P12" s="22"/>
      <c r="Q12" s="22"/>
      <c r="R12" s="128"/>
      <c r="S12" s="85"/>
    </row>
    <row r="13" spans="1:20" s="20" customFormat="1" ht="16" customHeight="1" x14ac:dyDescent="0.15">
      <c r="A13" s="84"/>
      <c r="B13" s="131"/>
      <c r="C13" s="101"/>
      <c r="D13" s="102">
        <f>INDEX(D14:D20,MATCH(E7,E14:E20,FALSE),1)</f>
        <v>4</v>
      </c>
      <c r="E13" s="102" t="s">
        <v>17</v>
      </c>
      <c r="F13" s="102">
        <f>INDEX(F14:F18,MATCH(G7,G14:G18,FALSE),1)</f>
        <v>1</v>
      </c>
      <c r="G13" s="102" t="s">
        <v>18</v>
      </c>
      <c r="H13" s="103"/>
      <c r="I13" s="103"/>
      <c r="J13" s="102">
        <f>INDEX(J14:J18,MATCH(I7,K14:K18,FALSE),1)</f>
        <v>2</v>
      </c>
      <c r="K13" s="102" t="s">
        <v>19</v>
      </c>
      <c r="L13" s="102">
        <f>INDEX(L14:L20,MATCH(K7,M14:M20,FALSE),1)</f>
        <v>2</v>
      </c>
      <c r="M13" s="102" t="s">
        <v>20</v>
      </c>
      <c r="N13" s="103"/>
      <c r="O13" s="103"/>
      <c r="P13" s="103"/>
      <c r="Q13" s="103"/>
      <c r="R13" s="131"/>
      <c r="S13" s="87"/>
      <c r="T13" s="159" t="s">
        <v>21</v>
      </c>
    </row>
    <row r="14" spans="1:20" s="20" customFormat="1" ht="16" customHeight="1" x14ac:dyDescent="0.15">
      <c r="A14" s="84"/>
      <c r="B14" s="131"/>
      <c r="C14" s="104"/>
      <c r="D14" s="103">
        <v>1</v>
      </c>
      <c r="E14" s="103" t="s">
        <v>11</v>
      </c>
      <c r="F14" s="103">
        <v>1</v>
      </c>
      <c r="G14" s="103" t="s">
        <v>22</v>
      </c>
      <c r="H14" s="103" t="s">
        <v>23</v>
      </c>
      <c r="I14" s="103"/>
      <c r="J14" s="103">
        <v>1</v>
      </c>
      <c r="K14" s="103" t="s">
        <v>24</v>
      </c>
      <c r="L14" s="103">
        <v>1</v>
      </c>
      <c r="M14" s="103" t="s">
        <v>25</v>
      </c>
      <c r="N14" s="103"/>
      <c r="O14" s="103"/>
      <c r="P14" s="103"/>
      <c r="Q14" s="103"/>
      <c r="R14" s="131"/>
      <c r="S14" s="87"/>
      <c r="T14" s="159"/>
    </row>
    <row r="15" spans="1:20" s="20" customFormat="1" ht="16" customHeight="1" x14ac:dyDescent="0.15">
      <c r="A15" s="84"/>
      <c r="B15" s="131"/>
      <c r="C15" s="104"/>
      <c r="D15" s="103">
        <v>2</v>
      </c>
      <c r="E15" s="103" t="s">
        <v>26</v>
      </c>
      <c r="F15" s="103">
        <v>2</v>
      </c>
      <c r="G15" s="103" t="s">
        <v>27</v>
      </c>
      <c r="H15" s="103" t="s">
        <v>28</v>
      </c>
      <c r="I15" s="103"/>
      <c r="J15" s="103">
        <v>2</v>
      </c>
      <c r="K15" s="103" t="s">
        <v>13</v>
      </c>
      <c r="L15" s="103">
        <v>2</v>
      </c>
      <c r="M15" s="103" t="s">
        <v>14</v>
      </c>
      <c r="N15" s="103"/>
      <c r="O15" s="103"/>
      <c r="P15" s="103"/>
      <c r="Q15" s="103"/>
      <c r="R15" s="131"/>
      <c r="S15" s="87"/>
      <c r="T15" s="159"/>
    </row>
    <row r="16" spans="1:20" s="20" customFormat="1" ht="16" customHeight="1" x14ac:dyDescent="0.15">
      <c r="A16" s="84"/>
      <c r="B16" s="131"/>
      <c r="C16" s="104"/>
      <c r="D16" s="103">
        <v>6</v>
      </c>
      <c r="E16" s="103" t="s">
        <v>29</v>
      </c>
      <c r="F16" s="103">
        <v>3</v>
      </c>
      <c r="G16" s="103" t="s">
        <v>12</v>
      </c>
      <c r="H16" s="103" t="s">
        <v>30</v>
      </c>
      <c r="I16" s="103"/>
      <c r="J16" s="103">
        <v>3</v>
      </c>
      <c r="K16" s="103"/>
      <c r="L16" s="103">
        <v>3</v>
      </c>
      <c r="M16" s="103"/>
      <c r="N16" s="103"/>
      <c r="O16" s="103"/>
      <c r="P16" s="103"/>
      <c r="Q16" s="103"/>
      <c r="R16" s="131"/>
      <c r="S16" s="87"/>
      <c r="T16" s="159"/>
    </row>
    <row r="17" spans="1:70" s="20" customFormat="1" ht="16" customHeight="1" x14ac:dyDescent="0.15">
      <c r="A17" s="84"/>
      <c r="B17" s="131"/>
      <c r="C17" s="104"/>
      <c r="D17" s="103">
        <v>3</v>
      </c>
      <c r="E17" s="103" t="s">
        <v>31</v>
      </c>
      <c r="F17" s="103">
        <v>4</v>
      </c>
      <c r="G17" s="103"/>
      <c r="H17" s="103"/>
      <c r="I17" s="103"/>
      <c r="J17" s="103">
        <v>4</v>
      </c>
      <c r="K17" s="103"/>
      <c r="L17" s="103">
        <v>4</v>
      </c>
      <c r="M17" s="103"/>
      <c r="N17" s="103"/>
      <c r="O17" s="103"/>
      <c r="P17" s="103"/>
      <c r="Q17" s="103"/>
      <c r="R17" s="131"/>
      <c r="S17" s="87"/>
      <c r="T17" s="159"/>
    </row>
    <row r="18" spans="1:70" s="20" customFormat="1" ht="16" customHeight="1" x14ac:dyDescent="0.15">
      <c r="A18" s="84"/>
      <c r="B18" s="131"/>
      <c r="C18" s="104"/>
      <c r="D18" s="103">
        <v>4</v>
      </c>
      <c r="E18" s="103" t="s">
        <v>32</v>
      </c>
      <c r="F18" s="103">
        <v>5</v>
      </c>
      <c r="G18" s="103"/>
      <c r="H18" s="103"/>
      <c r="I18" s="103"/>
      <c r="J18" s="103">
        <v>5</v>
      </c>
      <c r="K18" s="103"/>
      <c r="L18" s="103">
        <v>5</v>
      </c>
      <c r="M18" s="103"/>
      <c r="N18" s="103"/>
      <c r="O18" s="103"/>
      <c r="P18" s="103"/>
      <c r="Q18" s="103"/>
      <c r="R18" s="131"/>
      <c r="S18" s="87"/>
      <c r="T18" s="159"/>
    </row>
    <row r="19" spans="1:70" s="20" customFormat="1" ht="16" customHeight="1" x14ac:dyDescent="0.15">
      <c r="A19" s="84"/>
      <c r="B19" s="131"/>
      <c r="C19" s="104"/>
      <c r="D19" s="103">
        <v>5</v>
      </c>
      <c r="E19" s="103" t="s">
        <v>33</v>
      </c>
      <c r="F19" s="103">
        <v>6</v>
      </c>
      <c r="G19" s="103"/>
      <c r="H19" s="103"/>
      <c r="I19" s="103"/>
      <c r="J19" s="103">
        <v>6</v>
      </c>
      <c r="K19" s="103"/>
      <c r="L19" s="103">
        <v>6</v>
      </c>
      <c r="M19" s="103"/>
      <c r="N19" s="103"/>
      <c r="O19" s="103"/>
      <c r="P19" s="103"/>
      <c r="Q19" s="103"/>
      <c r="R19" s="131"/>
      <c r="S19" s="87"/>
      <c r="T19" s="159"/>
    </row>
    <row r="20" spans="1:70" s="20" customFormat="1" ht="16" customHeight="1" x14ac:dyDescent="0.15">
      <c r="A20" s="84"/>
      <c r="B20" s="131"/>
      <c r="C20" s="104"/>
      <c r="D20" s="103"/>
      <c r="E20" s="103"/>
      <c r="F20" s="103">
        <v>7</v>
      </c>
      <c r="G20" s="103"/>
      <c r="H20" s="103"/>
      <c r="I20" s="103"/>
      <c r="J20" s="103">
        <v>7</v>
      </c>
      <c r="K20" s="103"/>
      <c r="L20" s="103">
        <v>7</v>
      </c>
      <c r="M20" s="103"/>
      <c r="N20" s="103"/>
      <c r="O20" s="103"/>
      <c r="P20" s="103"/>
      <c r="Q20" s="103"/>
      <c r="R20" s="131"/>
      <c r="S20" s="87"/>
      <c r="T20" s="159"/>
    </row>
    <row r="21" spans="1:70" s="20" customFormat="1" ht="36" customHeight="1" x14ac:dyDescent="0.15">
      <c r="A21" s="84"/>
      <c r="B21" s="131"/>
      <c r="C21" s="132"/>
      <c r="D21" s="131"/>
      <c r="E21" s="131"/>
      <c r="F21" s="131"/>
      <c r="G21" s="131"/>
      <c r="H21" s="131"/>
      <c r="I21" s="131"/>
      <c r="J21" s="131"/>
      <c r="K21" s="131"/>
      <c r="L21" s="131"/>
      <c r="M21" s="131"/>
      <c r="N21" s="131"/>
      <c r="O21" s="131"/>
      <c r="P21" s="131"/>
      <c r="Q21" s="131"/>
      <c r="R21" s="131"/>
      <c r="S21" s="87"/>
      <c r="T21" s="159"/>
    </row>
    <row r="22" spans="1:70" s="17" customFormat="1" ht="39" customHeight="1" x14ac:dyDescent="0.15">
      <c r="A22" s="83"/>
      <c r="B22" s="112"/>
      <c r="C22" s="113" t="s">
        <v>34</v>
      </c>
      <c r="D22" s="112"/>
      <c r="E22" s="112"/>
      <c r="F22" s="112"/>
      <c r="G22" s="112"/>
      <c r="H22" s="112"/>
      <c r="I22" s="112"/>
      <c r="J22" s="112"/>
      <c r="K22" s="112"/>
      <c r="L22" s="112"/>
      <c r="M22" s="112"/>
      <c r="N22" s="112"/>
      <c r="O22" s="112"/>
      <c r="P22" s="112"/>
      <c r="Q22" s="112"/>
      <c r="R22" s="112"/>
      <c r="S22" s="83"/>
      <c r="T22" s="159"/>
    </row>
    <row r="23" spans="1:70" s="17" customFormat="1" ht="70" customHeight="1" thickBot="1" x14ac:dyDescent="0.2">
      <c r="A23" s="83"/>
      <c r="B23" s="83"/>
      <c r="C23" s="83"/>
      <c r="D23" s="83"/>
      <c r="E23" s="83"/>
      <c r="F23" s="83"/>
      <c r="G23" s="83"/>
      <c r="H23" s="83"/>
      <c r="I23" s="83"/>
      <c r="J23" s="83"/>
      <c r="K23" s="83"/>
      <c r="L23" s="83"/>
      <c r="M23" s="83"/>
      <c r="N23" s="83"/>
      <c r="O23" s="83"/>
      <c r="P23" s="83"/>
      <c r="Q23" s="83"/>
      <c r="R23" s="83"/>
      <c r="S23" s="83"/>
      <c r="T23" s="94"/>
    </row>
    <row r="24" spans="1:70" s="17" customFormat="1" ht="39" customHeight="1" x14ac:dyDescent="0.15">
      <c r="A24" s="83"/>
      <c r="B24" s="72"/>
      <c r="C24" s="73"/>
      <c r="D24" s="73"/>
      <c r="E24" s="73"/>
      <c r="F24" s="73"/>
      <c r="G24" s="73"/>
      <c r="H24" s="73"/>
      <c r="I24" s="73"/>
      <c r="J24" s="73"/>
      <c r="K24" s="73"/>
      <c r="L24" s="73"/>
      <c r="M24" s="73"/>
      <c r="N24" s="73"/>
      <c r="O24" s="73"/>
      <c r="P24" s="73"/>
      <c r="Q24" s="73"/>
      <c r="R24" s="74"/>
      <c r="S24" s="83"/>
      <c r="T24" s="94"/>
    </row>
    <row r="25" spans="1:70" customFormat="1" ht="14" customHeight="1" x14ac:dyDescent="0.2">
      <c r="A25" s="82"/>
      <c r="B25" s="75"/>
      <c r="C25" s="33"/>
      <c r="D25" s="33"/>
      <c r="E25" s="33"/>
      <c r="F25" s="33"/>
      <c r="G25" s="33"/>
      <c r="H25" s="33"/>
      <c r="I25" s="33"/>
      <c r="J25" s="33"/>
      <c r="K25" s="33"/>
      <c r="L25" s="33"/>
      <c r="M25" s="33"/>
      <c r="N25" s="33"/>
      <c r="O25" s="33"/>
      <c r="P25" s="33"/>
      <c r="Q25" s="33"/>
      <c r="R25" s="76"/>
      <c r="S25" s="82"/>
      <c r="T25" s="93"/>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c r="BI25" s="1"/>
      <c r="BJ25" s="1"/>
      <c r="BK25" s="1"/>
      <c r="BL25" s="1"/>
      <c r="BM25" s="1"/>
      <c r="BN25" s="1"/>
      <c r="BO25" s="1"/>
      <c r="BP25" s="1"/>
      <c r="BQ25" s="1"/>
      <c r="BR25" s="1"/>
    </row>
    <row r="26" spans="1:70" customFormat="1" ht="36" customHeight="1" x14ac:dyDescent="0.15">
      <c r="A26" s="82"/>
      <c r="B26" s="75"/>
      <c r="C26" s="33"/>
      <c r="D26" s="33"/>
      <c r="E26" s="34" t="s">
        <v>35</v>
      </c>
      <c r="F26" s="33" t="str">
        <f>IF(E7=E16,H15,INDEX(H14:H18,MATCH(G7,G14:G18,FALSE),1))</f>
        <v>Exclusivity</v>
      </c>
      <c r="G26" s="33"/>
      <c r="H26" s="33"/>
      <c r="I26" s="33"/>
      <c r="J26" s="33"/>
      <c r="K26" s="33"/>
      <c r="L26" s="33"/>
      <c r="M26" s="33"/>
      <c r="N26" s="33"/>
      <c r="O26" s="33"/>
      <c r="P26" s="33"/>
      <c r="Q26" s="33"/>
      <c r="R26" s="76"/>
      <c r="S26" s="82"/>
      <c r="T26" s="95"/>
      <c r="U26" s="12"/>
      <c r="V26" s="12"/>
      <c r="W26" s="12"/>
      <c r="X26" s="12"/>
      <c r="Y26" s="12"/>
      <c r="Z26" s="12"/>
      <c r="AA26" s="12"/>
      <c r="AB26" s="12"/>
      <c r="AC26" s="12"/>
      <c r="AD26" s="12"/>
      <c r="AE26" s="1"/>
      <c r="AF26" s="1"/>
      <c r="AG26" s="1"/>
      <c r="AH26" s="1"/>
      <c r="AI26" s="1"/>
      <c r="AJ26" s="1"/>
      <c r="AK26" s="1"/>
      <c r="AL26" s="1"/>
      <c r="AM26" s="1"/>
      <c r="AN26" s="1"/>
      <c r="AO26" s="1"/>
      <c r="AP26" s="1"/>
      <c r="AQ26" s="1"/>
      <c r="AR26" s="1"/>
      <c r="AS26" s="1"/>
      <c r="AT26" s="1"/>
      <c r="AU26" s="1"/>
      <c r="AV26" s="1"/>
      <c r="AW26" s="1"/>
      <c r="AX26" s="1"/>
      <c r="AY26" s="1"/>
      <c r="AZ26" s="1"/>
      <c r="BA26" s="1"/>
      <c r="BB26" s="1"/>
      <c r="BC26" s="1"/>
      <c r="BD26" s="1"/>
      <c r="BE26" s="1"/>
      <c r="BF26" s="1"/>
      <c r="BG26" s="1"/>
      <c r="BH26" s="1"/>
      <c r="BI26" s="1"/>
      <c r="BJ26" s="1"/>
      <c r="BK26" s="1"/>
      <c r="BL26" s="1"/>
      <c r="BM26" s="1"/>
      <c r="BN26" s="1"/>
      <c r="BO26" s="1"/>
      <c r="BP26" s="1"/>
      <c r="BQ26" s="1"/>
      <c r="BR26" s="1"/>
    </row>
    <row r="27" spans="1:70" customFormat="1" ht="36" customHeight="1" x14ac:dyDescent="0.15">
      <c r="A27" s="82"/>
      <c r="B27" s="75"/>
      <c r="C27" s="33"/>
      <c r="D27" s="33"/>
      <c r="E27" s="34" t="s">
        <v>36</v>
      </c>
      <c r="F27" s="33" t="str">
        <f>IF(E7=E20, E11, E7)</f>
        <v>US Federal</v>
      </c>
      <c r="G27" s="33"/>
      <c r="H27" s="33"/>
      <c r="I27" s="34" t="s">
        <v>37</v>
      </c>
      <c r="J27" s="33" t="str">
        <f>G7</f>
        <v>DI</v>
      </c>
      <c r="K27" s="33"/>
      <c r="L27" s="33"/>
      <c r="M27" s="33"/>
      <c r="N27" s="33"/>
      <c r="O27" s="33"/>
      <c r="P27" s="33"/>
      <c r="Q27" s="33"/>
      <c r="R27" s="76"/>
      <c r="S27" s="82"/>
      <c r="T27" s="95"/>
      <c r="U27" s="12"/>
      <c r="V27" s="12"/>
      <c r="W27" s="12"/>
      <c r="X27" s="12"/>
      <c r="Y27" s="12"/>
      <c r="Z27" s="12"/>
      <c r="AA27" s="12"/>
      <c r="AB27" s="12"/>
      <c r="AC27" s="12"/>
      <c r="AD27" s="12"/>
      <c r="AE27" s="1"/>
      <c r="AF27" s="1"/>
      <c r="AG27" s="1"/>
      <c r="AH27" s="1"/>
      <c r="AI27" s="1"/>
      <c r="AJ27" s="1"/>
      <c r="AK27" s="1"/>
      <c r="AL27" s="1"/>
      <c r="AM27" s="1"/>
      <c r="AN27" s="1"/>
      <c r="AO27" s="1"/>
      <c r="AP27" s="1"/>
      <c r="AQ27" s="1"/>
      <c r="AR27" s="1"/>
      <c r="AS27" s="1"/>
      <c r="AT27" s="1"/>
      <c r="AU27" s="1"/>
      <c r="AV27" s="1"/>
      <c r="AW27" s="1"/>
      <c r="AX27" s="1"/>
      <c r="AY27" s="1"/>
      <c r="AZ27" s="1"/>
      <c r="BA27" s="1"/>
      <c r="BB27" s="1"/>
      <c r="BC27" s="1"/>
      <c r="BD27" s="1"/>
      <c r="BE27" s="1"/>
      <c r="BF27" s="1"/>
      <c r="BG27" s="1"/>
      <c r="BH27" s="1"/>
      <c r="BI27" s="1"/>
      <c r="BJ27" s="1"/>
      <c r="BK27" s="1"/>
      <c r="BL27" s="1"/>
      <c r="BM27" s="1"/>
      <c r="BN27" s="1"/>
      <c r="BO27" s="1"/>
      <c r="BP27" s="1"/>
      <c r="BQ27" s="1"/>
      <c r="BR27" s="1"/>
    </row>
    <row r="28" spans="1:70" customFormat="1" ht="14" customHeight="1" x14ac:dyDescent="0.2">
      <c r="A28" s="82"/>
      <c r="B28" s="75"/>
      <c r="C28" s="33"/>
      <c r="D28" s="33"/>
      <c r="E28" s="33"/>
      <c r="F28" s="33"/>
      <c r="G28" s="33"/>
      <c r="H28" s="33"/>
      <c r="I28" s="33"/>
      <c r="J28" s="33"/>
      <c r="K28" s="33"/>
      <c r="L28" s="33"/>
      <c r="M28" s="33"/>
      <c r="N28" s="33"/>
      <c r="O28" s="33"/>
      <c r="P28" s="33"/>
      <c r="Q28" s="33"/>
      <c r="R28" s="76"/>
      <c r="S28" s="82"/>
      <c r="T28" s="93"/>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c r="AU28" s="1"/>
      <c r="AV28" s="1"/>
      <c r="AW28" s="1"/>
      <c r="AX28" s="1"/>
      <c r="AY28" s="1"/>
      <c r="AZ28" s="1"/>
      <c r="BA28" s="1"/>
      <c r="BB28" s="1"/>
      <c r="BC28" s="1"/>
      <c r="BD28" s="1"/>
      <c r="BE28" s="1"/>
      <c r="BF28" s="1"/>
      <c r="BG28" s="1"/>
      <c r="BH28" s="1"/>
      <c r="BI28" s="1"/>
      <c r="BJ28" s="1"/>
      <c r="BK28" s="1"/>
      <c r="BL28" s="1"/>
      <c r="BM28" s="1"/>
      <c r="BN28" s="1"/>
      <c r="BO28" s="1"/>
      <c r="BP28" s="1"/>
      <c r="BQ28" s="1"/>
      <c r="BR28" s="1"/>
    </row>
    <row r="29" spans="1:70" ht="18" x14ac:dyDescent="0.2">
      <c r="B29" s="75"/>
      <c r="R29" s="76"/>
    </row>
    <row r="30" spans="1:70" ht="18" x14ac:dyDescent="0.2">
      <c r="B30" s="75"/>
      <c r="R30" s="76"/>
    </row>
    <row r="31" spans="1:70" ht="32" customHeight="1" x14ac:dyDescent="0.15">
      <c r="B31" s="75"/>
      <c r="C31" s="153" t="s">
        <v>38</v>
      </c>
      <c r="D31" s="153"/>
      <c r="E31" s="153"/>
      <c r="F31" s="153"/>
      <c r="G31" s="153"/>
      <c r="H31" s="153"/>
      <c r="I31" s="153"/>
      <c r="J31" s="153"/>
      <c r="K31" s="153"/>
      <c r="L31" s="153"/>
      <c r="M31" s="153"/>
      <c r="N31" s="153"/>
      <c r="O31" s="153"/>
      <c r="P31" s="153"/>
      <c r="Q31" s="153"/>
      <c r="R31" s="76"/>
      <c r="T31" s="94"/>
    </row>
    <row r="32" spans="1:70" ht="0" hidden="1" customHeight="1" x14ac:dyDescent="0.2">
      <c r="B32" s="75"/>
      <c r="C32" s="10"/>
      <c r="D32" s="10"/>
      <c r="E32" s="10"/>
      <c r="F32" s="10"/>
      <c r="G32" s="10"/>
      <c r="H32" s="10"/>
      <c r="I32" s="10"/>
      <c r="J32" s="10"/>
      <c r="K32" s="10"/>
      <c r="L32" s="10"/>
      <c r="M32" s="10"/>
      <c r="N32" s="10"/>
      <c r="O32" s="10"/>
      <c r="P32" s="10"/>
      <c r="Q32" s="10"/>
      <c r="R32" s="76"/>
    </row>
    <row r="33" spans="1:74" ht="35" customHeight="1" thickBot="1" x14ac:dyDescent="0.25">
      <c r="B33" s="75"/>
      <c r="C33" s="35"/>
      <c r="D33" s="35"/>
      <c r="E33" s="35"/>
      <c r="F33" s="35"/>
      <c r="G33" s="35"/>
      <c r="H33" s="36"/>
      <c r="I33" s="36"/>
      <c r="J33" s="36"/>
      <c r="K33" s="36"/>
      <c r="L33" s="35"/>
      <c r="M33" s="35"/>
      <c r="N33" s="35"/>
      <c r="O33" s="35"/>
      <c r="P33" s="35"/>
      <c r="Q33" s="35"/>
      <c r="R33" s="76"/>
      <c r="T33" s="116" t="s">
        <v>39</v>
      </c>
    </row>
    <row r="34" spans="1:74" s="8" customFormat="1" ht="40" customHeight="1" thickTop="1" thickBot="1" x14ac:dyDescent="0.25">
      <c r="A34" s="85"/>
      <c r="B34" s="77"/>
      <c r="C34" s="24" t="s">
        <v>40</v>
      </c>
      <c r="D34" s="25"/>
      <c r="E34" s="26" t="s">
        <v>243</v>
      </c>
      <c r="F34" s="27"/>
      <c r="G34" s="37"/>
      <c r="H34" s="157" t="s">
        <v>41</v>
      </c>
      <c r="I34" s="158"/>
      <c r="J34" s="36"/>
      <c r="K34" s="105"/>
      <c r="L34" s="37"/>
      <c r="M34" s="36"/>
      <c r="N34" s="38"/>
      <c r="O34" s="38"/>
      <c r="P34" s="38"/>
      <c r="Q34" s="38"/>
      <c r="R34" s="78"/>
      <c r="S34" s="85"/>
      <c r="T34" s="116" t="s">
        <v>42</v>
      </c>
      <c r="U34" s="10"/>
      <c r="V34" s="10"/>
      <c r="W34" s="10"/>
      <c r="X34" s="10"/>
      <c r="Y34" s="10"/>
      <c r="Z34" s="10"/>
      <c r="AA34" s="10"/>
      <c r="AB34" s="10"/>
      <c r="AC34" s="10"/>
      <c r="AD34" s="10"/>
      <c r="AE34" s="10"/>
      <c r="AF34" s="10"/>
      <c r="AG34" s="10"/>
      <c r="AH34" s="10"/>
      <c r="AI34" s="10"/>
      <c r="AJ34" s="10"/>
      <c r="AK34" s="10"/>
      <c r="AL34" s="10"/>
      <c r="AM34" s="10"/>
      <c r="AN34" s="10"/>
      <c r="AO34" s="10"/>
      <c r="AP34" s="10"/>
      <c r="AQ34" s="10"/>
      <c r="AR34" s="10"/>
      <c r="AS34" s="10"/>
      <c r="AT34" s="10"/>
      <c r="AU34" s="10"/>
      <c r="AV34" s="10"/>
      <c r="AW34" s="10"/>
      <c r="AX34" s="10"/>
      <c r="AY34" s="10"/>
      <c r="AZ34" s="10"/>
      <c r="BA34" s="10"/>
      <c r="BB34" s="10"/>
      <c r="BC34" s="10"/>
      <c r="BD34" s="10"/>
      <c r="BE34" s="10"/>
      <c r="BF34" s="10"/>
      <c r="BG34" s="10"/>
      <c r="BH34" s="10"/>
      <c r="BI34" s="10"/>
      <c r="BJ34" s="10"/>
      <c r="BK34" s="10"/>
      <c r="BL34" s="10"/>
      <c r="BM34" s="10"/>
      <c r="BN34" s="10"/>
      <c r="BO34" s="10"/>
      <c r="BP34" s="10"/>
      <c r="BQ34" s="10"/>
      <c r="BR34" s="10"/>
      <c r="BS34" s="10"/>
      <c r="BT34" s="10"/>
      <c r="BU34" s="10"/>
      <c r="BV34" s="10"/>
    </row>
    <row r="35" spans="1:74" s="8" customFormat="1" ht="19" customHeight="1" thickTop="1" thickBot="1" x14ac:dyDescent="0.25">
      <c r="A35" s="85"/>
      <c r="B35" s="77"/>
      <c r="C35" s="39"/>
      <c r="D35" s="39"/>
      <c r="E35" s="40"/>
      <c r="F35" s="39"/>
      <c r="G35" s="37"/>
      <c r="H35" s="39"/>
      <c r="I35" s="39"/>
      <c r="J35" s="39"/>
      <c r="K35" s="40"/>
      <c r="L35" s="37"/>
      <c r="M35" s="38"/>
      <c r="N35" s="38"/>
      <c r="O35" s="38"/>
      <c r="P35" s="38"/>
      <c r="Q35" s="38"/>
      <c r="R35" s="78"/>
      <c r="S35" s="85"/>
      <c r="T35" s="116"/>
      <c r="U35" s="10"/>
      <c r="V35" s="10"/>
      <c r="W35" s="10"/>
      <c r="X35" s="10"/>
      <c r="Y35" s="10"/>
      <c r="Z35" s="10"/>
      <c r="AA35" s="10"/>
      <c r="AB35" s="10"/>
      <c r="AC35" s="10"/>
      <c r="AD35" s="10"/>
      <c r="AE35" s="10"/>
      <c r="AF35" s="10"/>
      <c r="AG35" s="10"/>
      <c r="AH35" s="10"/>
      <c r="AI35" s="10"/>
      <c r="AJ35" s="10"/>
      <c r="AK35" s="10"/>
      <c r="AL35" s="10"/>
      <c r="AM35" s="10"/>
      <c r="AN35" s="10"/>
      <c r="AO35" s="10"/>
      <c r="AP35" s="10"/>
      <c r="AQ35" s="10"/>
      <c r="AR35" s="10"/>
      <c r="AS35" s="10"/>
      <c r="AT35" s="10"/>
      <c r="AU35" s="10"/>
      <c r="AV35" s="10"/>
      <c r="AW35" s="10"/>
      <c r="AX35" s="10"/>
      <c r="AY35" s="10"/>
      <c r="AZ35" s="10"/>
      <c r="BA35" s="10"/>
      <c r="BB35" s="10"/>
      <c r="BC35" s="10"/>
      <c r="BD35" s="10"/>
      <c r="BE35" s="10"/>
      <c r="BF35" s="10"/>
      <c r="BG35" s="10"/>
      <c r="BH35" s="10"/>
      <c r="BI35" s="10"/>
      <c r="BJ35" s="10"/>
      <c r="BK35" s="10"/>
      <c r="BL35" s="10"/>
      <c r="BM35" s="10"/>
      <c r="BN35" s="10"/>
      <c r="BO35" s="10"/>
      <c r="BP35" s="10"/>
      <c r="BQ35" s="10"/>
      <c r="BR35" s="10"/>
      <c r="BS35" s="10"/>
      <c r="BT35" s="10"/>
      <c r="BU35" s="10"/>
      <c r="BV35" s="10"/>
    </row>
    <row r="36" spans="1:74" s="6" customFormat="1" ht="40" customHeight="1" thickTop="1" thickBot="1" x14ac:dyDescent="0.2">
      <c r="A36" s="133"/>
      <c r="B36" s="134"/>
      <c r="C36" s="24" t="s">
        <v>43</v>
      </c>
      <c r="D36" s="25"/>
      <c r="E36" s="26" t="s">
        <v>244</v>
      </c>
      <c r="F36" s="27"/>
      <c r="G36" s="37"/>
      <c r="H36" s="157" t="s">
        <v>44</v>
      </c>
      <c r="I36" s="158"/>
      <c r="J36" s="28"/>
      <c r="K36" s="106"/>
      <c r="L36" s="37"/>
      <c r="M36" s="41"/>
      <c r="N36" s="41"/>
      <c r="O36" s="41"/>
      <c r="P36" s="41"/>
      <c r="Q36" s="37"/>
      <c r="R36" s="135"/>
      <c r="S36" s="133"/>
      <c r="T36" s="116" t="s">
        <v>45</v>
      </c>
      <c r="U36" s="136"/>
      <c r="V36" s="136"/>
      <c r="W36" s="136"/>
      <c r="X36" s="136"/>
      <c r="Y36" s="136"/>
      <c r="Z36" s="136"/>
      <c r="AA36" s="136"/>
      <c r="AB36" s="136"/>
      <c r="AC36" s="136"/>
      <c r="AD36" s="136"/>
      <c r="AE36" s="136"/>
      <c r="AF36" s="136"/>
      <c r="AG36" s="136"/>
      <c r="AH36" s="136"/>
      <c r="AI36" s="136"/>
      <c r="AJ36" s="136"/>
      <c r="AK36" s="136"/>
      <c r="AL36" s="136"/>
      <c r="AM36" s="136"/>
      <c r="AN36" s="136"/>
      <c r="AO36" s="136"/>
      <c r="AP36" s="136"/>
      <c r="AQ36" s="136"/>
      <c r="AR36" s="136"/>
      <c r="AS36" s="136"/>
      <c r="AT36" s="136"/>
      <c r="AU36" s="136"/>
      <c r="AV36" s="136"/>
      <c r="AW36" s="136"/>
      <c r="AX36" s="136"/>
      <c r="AY36" s="136"/>
      <c r="AZ36" s="136"/>
      <c r="BA36" s="136"/>
      <c r="BB36" s="136"/>
      <c r="BC36" s="136"/>
      <c r="BD36" s="136"/>
      <c r="BE36" s="136"/>
      <c r="BF36" s="136"/>
      <c r="BG36" s="136"/>
      <c r="BH36" s="136"/>
      <c r="BI36" s="136"/>
      <c r="BJ36" s="136"/>
      <c r="BK36" s="136"/>
      <c r="BL36" s="136"/>
      <c r="BM36" s="136"/>
      <c r="BN36" s="136"/>
      <c r="BO36" s="136"/>
      <c r="BP36" s="136"/>
      <c r="BQ36" s="136"/>
      <c r="BR36" s="136"/>
      <c r="BS36" s="136"/>
      <c r="BT36" s="136"/>
      <c r="BU36" s="136"/>
      <c r="BV36" s="136"/>
    </row>
    <row r="37" spans="1:74" s="6" customFormat="1" ht="23" customHeight="1" thickTop="1" thickBot="1" x14ac:dyDescent="0.2">
      <c r="A37" s="133"/>
      <c r="B37" s="134"/>
      <c r="C37" s="39"/>
      <c r="D37" s="39"/>
      <c r="E37" s="40"/>
      <c r="F37" s="39"/>
      <c r="G37" s="37"/>
      <c r="H37" s="42"/>
      <c r="I37" s="39"/>
      <c r="J37" s="39"/>
      <c r="K37" s="37"/>
      <c r="L37" s="37"/>
      <c r="M37" s="37"/>
      <c r="N37" s="37"/>
      <c r="O37" s="37"/>
      <c r="P37" s="37"/>
      <c r="Q37" s="37"/>
      <c r="R37" s="135"/>
      <c r="S37" s="133"/>
      <c r="T37" s="116"/>
      <c r="U37" s="136"/>
      <c r="V37" s="136"/>
      <c r="W37" s="136"/>
      <c r="X37" s="136"/>
      <c r="Y37" s="136"/>
      <c r="Z37" s="136"/>
      <c r="AA37" s="136"/>
      <c r="AB37" s="136"/>
      <c r="AC37" s="136"/>
      <c r="AD37" s="136"/>
      <c r="AE37" s="136"/>
      <c r="AF37" s="136"/>
      <c r="AG37" s="136"/>
      <c r="AH37" s="136"/>
      <c r="AI37" s="136"/>
      <c r="AJ37" s="136"/>
      <c r="AK37" s="136"/>
      <c r="AL37" s="136"/>
      <c r="AM37" s="136"/>
      <c r="AN37" s="136"/>
      <c r="AO37" s="136"/>
      <c r="AP37" s="136"/>
      <c r="AQ37" s="136"/>
      <c r="AR37" s="136"/>
      <c r="AS37" s="136"/>
      <c r="AT37" s="136"/>
      <c r="AU37" s="136"/>
      <c r="AV37" s="136"/>
      <c r="AW37" s="136"/>
      <c r="AX37" s="136"/>
      <c r="AY37" s="136"/>
      <c r="AZ37" s="136"/>
      <c r="BA37" s="136"/>
      <c r="BB37" s="136"/>
      <c r="BC37" s="136"/>
      <c r="BD37" s="136"/>
      <c r="BE37" s="136"/>
      <c r="BF37" s="136"/>
      <c r="BG37" s="136"/>
      <c r="BH37" s="136"/>
      <c r="BI37" s="136"/>
      <c r="BJ37" s="136"/>
      <c r="BK37" s="136"/>
      <c r="BL37" s="136"/>
      <c r="BM37" s="136"/>
      <c r="BN37" s="136"/>
      <c r="BO37" s="136"/>
      <c r="BP37" s="136"/>
      <c r="BQ37" s="136"/>
      <c r="BR37" s="136"/>
      <c r="BS37" s="136"/>
      <c r="BT37" s="136"/>
      <c r="BU37" s="136"/>
      <c r="BV37" s="136"/>
    </row>
    <row r="38" spans="1:74" s="6" customFormat="1" ht="40" customHeight="1" thickTop="1" thickBot="1" x14ac:dyDescent="0.2">
      <c r="A38" s="133"/>
      <c r="B38" s="134"/>
      <c r="C38" s="24" t="s">
        <v>46</v>
      </c>
      <c r="D38" s="25"/>
      <c r="E38" s="26" t="s">
        <v>142</v>
      </c>
      <c r="F38" s="27"/>
      <c r="G38" s="37"/>
      <c r="H38" s="37"/>
      <c r="I38" s="37"/>
      <c r="J38" s="37"/>
      <c r="K38" s="136"/>
      <c r="L38" s="37"/>
      <c r="M38" s="37"/>
      <c r="N38" s="37"/>
      <c r="O38" s="37"/>
      <c r="P38" s="37"/>
      <c r="Q38" s="37"/>
      <c r="R38" s="135"/>
      <c r="S38" s="133"/>
      <c r="T38" s="94"/>
      <c r="U38" s="13"/>
      <c r="V38" s="13"/>
      <c r="W38" s="13"/>
      <c r="X38" s="13"/>
      <c r="Y38" s="136"/>
      <c r="Z38" s="136"/>
      <c r="AA38" s="136"/>
      <c r="AB38" s="136"/>
      <c r="AC38" s="136"/>
      <c r="AD38" s="136"/>
      <c r="AE38" s="136"/>
      <c r="AF38" s="136"/>
      <c r="AG38" s="136"/>
      <c r="AH38" s="136"/>
      <c r="AI38" s="136"/>
      <c r="AJ38" s="136"/>
      <c r="AK38" s="136"/>
      <c r="AL38" s="136"/>
      <c r="AM38" s="136"/>
      <c r="AN38" s="136"/>
      <c r="AO38" s="136"/>
      <c r="AP38" s="136"/>
      <c r="AQ38" s="136"/>
      <c r="AR38" s="136"/>
      <c r="AS38" s="136"/>
      <c r="AT38" s="136"/>
      <c r="AU38" s="136"/>
      <c r="AV38" s="136"/>
      <c r="AW38" s="136"/>
      <c r="AX38" s="136"/>
      <c r="AY38" s="136"/>
      <c r="AZ38" s="136"/>
      <c r="BA38" s="136"/>
      <c r="BB38" s="136"/>
      <c r="BC38" s="136"/>
      <c r="BD38" s="136"/>
      <c r="BE38" s="136"/>
      <c r="BF38" s="136"/>
      <c r="BG38" s="136"/>
      <c r="BH38" s="136"/>
      <c r="BI38" s="136"/>
      <c r="BJ38" s="136"/>
      <c r="BK38" s="136"/>
      <c r="BL38" s="136"/>
      <c r="BM38" s="136"/>
      <c r="BN38" s="136"/>
      <c r="BO38" s="136"/>
      <c r="BP38" s="136"/>
      <c r="BQ38" s="136"/>
      <c r="BR38" s="136"/>
      <c r="BS38" s="136"/>
      <c r="BT38" s="136"/>
      <c r="BU38" s="136"/>
      <c r="BV38" s="136"/>
    </row>
    <row r="39" spans="1:74" s="6" customFormat="1" ht="25" customHeight="1" thickTop="1" thickBot="1" x14ac:dyDescent="0.2">
      <c r="A39" s="133"/>
      <c r="B39" s="134"/>
      <c r="C39" s="39"/>
      <c r="D39" s="39"/>
      <c r="E39" s="40"/>
      <c r="F39" s="39"/>
      <c r="G39" s="37"/>
      <c r="H39" s="37"/>
      <c r="I39" s="37"/>
      <c r="J39" s="37"/>
      <c r="K39" s="37"/>
      <c r="L39" s="37"/>
      <c r="M39" s="37"/>
      <c r="N39" s="37"/>
      <c r="O39" s="37"/>
      <c r="P39" s="37"/>
      <c r="Q39" s="37"/>
      <c r="R39" s="135"/>
      <c r="S39" s="133"/>
      <c r="T39" s="94"/>
      <c r="U39" s="136"/>
      <c r="V39" s="136"/>
      <c r="W39" s="136"/>
      <c r="X39" s="136"/>
      <c r="Y39" s="136"/>
      <c r="Z39" s="136"/>
      <c r="AA39" s="136"/>
      <c r="AB39" s="136"/>
      <c r="AC39" s="136"/>
      <c r="AD39" s="136"/>
      <c r="AE39" s="136"/>
      <c r="AF39" s="136"/>
      <c r="AG39" s="136"/>
      <c r="AH39" s="136"/>
      <c r="AI39" s="136"/>
      <c r="AJ39" s="136"/>
      <c r="AK39" s="136"/>
      <c r="AL39" s="136"/>
      <c r="AM39" s="136"/>
      <c r="AN39" s="136"/>
      <c r="AO39" s="136"/>
      <c r="AP39" s="136"/>
      <c r="AQ39" s="136"/>
      <c r="AR39" s="136"/>
      <c r="AS39" s="136"/>
      <c r="AT39" s="136"/>
      <c r="AU39" s="136"/>
      <c r="AV39" s="136"/>
      <c r="AW39" s="136"/>
      <c r="AX39" s="136"/>
      <c r="AY39" s="136"/>
      <c r="AZ39" s="136"/>
      <c r="BA39" s="136"/>
      <c r="BB39" s="136"/>
      <c r="BC39" s="136"/>
      <c r="BD39" s="136"/>
      <c r="BE39" s="136"/>
      <c r="BF39" s="136"/>
      <c r="BG39" s="136"/>
      <c r="BH39" s="136"/>
      <c r="BI39" s="136"/>
      <c r="BJ39" s="136"/>
      <c r="BK39" s="136"/>
      <c r="BL39" s="136"/>
      <c r="BM39" s="136"/>
      <c r="BN39" s="136"/>
      <c r="BO39" s="136"/>
      <c r="BP39" s="136"/>
      <c r="BQ39" s="136"/>
      <c r="BR39" s="136"/>
      <c r="BS39" s="136"/>
      <c r="BT39" s="136"/>
      <c r="BU39" s="136"/>
      <c r="BV39" s="136"/>
    </row>
    <row r="40" spans="1:74" s="6" customFormat="1" ht="40" customHeight="1" thickTop="1" thickBot="1" x14ac:dyDescent="0.2">
      <c r="A40" s="133"/>
      <c r="B40" s="134"/>
      <c r="C40" s="24" t="s">
        <v>47</v>
      </c>
      <c r="D40" s="25"/>
      <c r="E40" s="26" t="s">
        <v>245</v>
      </c>
      <c r="F40" s="27"/>
      <c r="G40" s="37"/>
      <c r="H40" s="37"/>
      <c r="I40" s="37"/>
      <c r="J40" s="37"/>
      <c r="K40" s="37"/>
      <c r="L40" s="37"/>
      <c r="M40" s="37"/>
      <c r="N40" s="37"/>
      <c r="O40" s="37"/>
      <c r="P40" s="37"/>
      <c r="Q40" s="37"/>
      <c r="R40" s="135"/>
      <c r="S40" s="133"/>
      <c r="T40" s="94"/>
      <c r="U40" s="14"/>
      <c r="V40" s="14"/>
      <c r="W40" s="14"/>
      <c r="X40" s="14"/>
      <c r="Y40" s="14"/>
      <c r="Z40" s="14"/>
      <c r="AA40" s="14"/>
      <c r="AB40" s="14"/>
      <c r="AC40" s="14"/>
      <c r="AD40" s="136"/>
      <c r="AE40" s="136"/>
      <c r="AF40" s="136"/>
      <c r="AG40" s="136"/>
      <c r="AH40" s="136"/>
      <c r="AI40" s="136"/>
      <c r="AJ40" s="136"/>
      <c r="AK40" s="136"/>
      <c r="AL40" s="136"/>
      <c r="AM40" s="136"/>
      <c r="AN40" s="136"/>
      <c r="AO40" s="136"/>
      <c r="AP40" s="136"/>
      <c r="AQ40" s="136"/>
      <c r="AR40" s="136"/>
      <c r="AS40" s="136"/>
      <c r="AT40" s="136"/>
      <c r="AU40" s="136"/>
      <c r="AV40" s="136"/>
      <c r="AW40" s="136"/>
      <c r="AX40" s="136"/>
      <c r="AY40" s="136"/>
      <c r="AZ40" s="136"/>
      <c r="BA40" s="136"/>
      <c r="BB40" s="136"/>
      <c r="BC40" s="136"/>
      <c r="BD40" s="136"/>
      <c r="BE40" s="136"/>
      <c r="BF40" s="136"/>
      <c r="BG40" s="136"/>
      <c r="BH40" s="136"/>
      <c r="BI40" s="136"/>
      <c r="BJ40" s="136"/>
      <c r="BK40" s="136"/>
      <c r="BL40" s="136"/>
      <c r="BM40" s="136"/>
      <c r="BN40" s="136"/>
      <c r="BO40" s="136"/>
      <c r="BP40" s="136"/>
      <c r="BQ40" s="136"/>
      <c r="BR40" s="136"/>
      <c r="BS40" s="136"/>
      <c r="BT40" s="136"/>
      <c r="BU40" s="136"/>
      <c r="BV40" s="136"/>
    </row>
    <row r="41" spans="1:74" s="6" customFormat="1" ht="24" customHeight="1" thickTop="1" x14ac:dyDescent="0.15">
      <c r="A41" s="133"/>
      <c r="B41" s="134"/>
      <c r="C41" s="39"/>
      <c r="D41" s="39"/>
      <c r="E41" s="40"/>
      <c r="F41" s="39"/>
      <c r="G41" s="37"/>
      <c r="H41" s="37"/>
      <c r="I41" s="37"/>
      <c r="J41" s="37"/>
      <c r="K41" s="37"/>
      <c r="L41" s="37"/>
      <c r="M41" s="37"/>
      <c r="N41" s="37"/>
      <c r="O41" s="37"/>
      <c r="P41" s="37"/>
      <c r="Q41" s="37"/>
      <c r="R41" s="135"/>
      <c r="S41" s="133"/>
      <c r="T41" s="94"/>
      <c r="U41" s="136"/>
      <c r="V41" s="136"/>
      <c r="W41" s="136"/>
      <c r="X41" s="136"/>
      <c r="Y41" s="136"/>
      <c r="Z41" s="136"/>
      <c r="AA41" s="136"/>
      <c r="AB41" s="136"/>
      <c r="AC41" s="136"/>
      <c r="AD41" s="136"/>
      <c r="AE41" s="136"/>
      <c r="AF41" s="136"/>
      <c r="AG41" s="136"/>
      <c r="AH41" s="136"/>
      <c r="AI41" s="136"/>
      <c r="AJ41" s="136"/>
      <c r="AK41" s="136"/>
      <c r="AL41" s="136"/>
      <c r="AM41" s="136"/>
      <c r="AN41" s="136"/>
      <c r="AO41" s="136"/>
      <c r="AP41" s="136"/>
      <c r="AQ41" s="136"/>
      <c r="AR41" s="136"/>
      <c r="AS41" s="136"/>
      <c r="AT41" s="136"/>
      <c r="AU41" s="136"/>
      <c r="AV41" s="136"/>
      <c r="AW41" s="136"/>
      <c r="AX41" s="136"/>
      <c r="AY41" s="136"/>
      <c r="AZ41" s="136"/>
      <c r="BA41" s="136"/>
      <c r="BB41" s="136"/>
      <c r="BC41" s="136"/>
      <c r="BD41" s="136"/>
      <c r="BE41" s="136"/>
      <c r="BF41" s="136"/>
      <c r="BG41" s="136"/>
      <c r="BH41" s="136"/>
      <c r="BI41" s="136"/>
      <c r="BJ41" s="136"/>
      <c r="BK41" s="136"/>
      <c r="BL41" s="136"/>
      <c r="BM41" s="136"/>
      <c r="BN41" s="136"/>
      <c r="BO41" s="136"/>
      <c r="BP41" s="136"/>
      <c r="BQ41" s="136"/>
      <c r="BR41" s="136"/>
      <c r="BS41" s="136"/>
      <c r="BT41" s="136"/>
      <c r="BU41" s="136"/>
      <c r="BV41" s="136"/>
    </row>
    <row r="42" spans="1:74" s="6" customFormat="1" ht="33" customHeight="1" x14ac:dyDescent="0.2">
      <c r="A42" s="133"/>
      <c r="B42" s="134"/>
      <c r="C42" s="35"/>
      <c r="D42" s="35"/>
      <c r="E42" s="35"/>
      <c r="F42" s="35"/>
      <c r="G42" s="35"/>
      <c r="H42" s="35"/>
      <c r="I42" s="35"/>
      <c r="J42" s="35"/>
      <c r="K42" s="35"/>
      <c r="L42" s="35"/>
      <c r="M42" s="35"/>
      <c r="N42" s="35"/>
      <c r="O42" s="35"/>
      <c r="P42" s="35"/>
      <c r="Q42" s="35"/>
      <c r="R42" s="135"/>
      <c r="S42" s="133"/>
      <c r="T42" s="94"/>
      <c r="U42" s="136"/>
      <c r="V42" s="136"/>
      <c r="W42" s="136"/>
      <c r="X42" s="136"/>
      <c r="Y42" s="136"/>
      <c r="Z42" s="136"/>
      <c r="AA42" s="136"/>
      <c r="AB42" s="136"/>
      <c r="AC42" s="136"/>
      <c r="AD42" s="136"/>
      <c r="AE42" s="136"/>
      <c r="AF42" s="136"/>
      <c r="AG42" s="136"/>
      <c r="AH42" s="136"/>
      <c r="AI42" s="136"/>
      <c r="AJ42" s="136"/>
      <c r="AK42" s="136"/>
      <c r="AL42" s="136"/>
      <c r="AM42" s="136"/>
      <c r="AN42" s="136"/>
      <c r="AO42" s="136"/>
      <c r="AP42" s="136"/>
      <c r="AQ42" s="136"/>
      <c r="AR42" s="136"/>
      <c r="AS42" s="136"/>
      <c r="AT42" s="136"/>
      <c r="AU42" s="136"/>
      <c r="AV42" s="136"/>
      <c r="AW42" s="136"/>
      <c r="AX42" s="136"/>
      <c r="AY42" s="136"/>
      <c r="AZ42" s="136"/>
      <c r="BA42" s="136"/>
      <c r="BB42" s="136"/>
      <c r="BC42" s="136"/>
      <c r="BD42" s="136"/>
      <c r="BE42" s="136"/>
      <c r="BF42" s="136"/>
      <c r="BG42" s="136"/>
      <c r="BH42" s="136"/>
      <c r="BI42" s="136"/>
      <c r="BJ42" s="136"/>
      <c r="BK42" s="136"/>
      <c r="BL42" s="136"/>
      <c r="BM42" s="136"/>
      <c r="BN42" s="136"/>
      <c r="BO42" s="136"/>
      <c r="BP42" s="136"/>
      <c r="BQ42" s="136"/>
      <c r="BR42" s="136"/>
      <c r="BS42" s="136"/>
      <c r="BT42" s="136"/>
      <c r="BU42" s="136"/>
      <c r="BV42" s="136"/>
    </row>
    <row r="43" spans="1:74" s="6" customFormat="1" ht="34" customHeight="1" x14ac:dyDescent="0.15">
      <c r="A43" s="133"/>
      <c r="B43" s="134"/>
      <c r="C43" s="153" t="s">
        <v>48</v>
      </c>
      <c r="D43" s="153"/>
      <c r="E43" s="153"/>
      <c r="F43" s="153"/>
      <c r="G43" s="153"/>
      <c r="H43" s="153"/>
      <c r="I43" s="43"/>
      <c r="J43" s="43"/>
      <c r="K43" s="43"/>
      <c r="L43" s="43"/>
      <c r="M43" s="43"/>
      <c r="N43" s="43"/>
      <c r="O43" s="43"/>
      <c r="P43" s="44"/>
      <c r="Q43" s="43"/>
      <c r="R43" s="135"/>
      <c r="S43" s="133"/>
      <c r="T43" s="94"/>
      <c r="U43" s="136"/>
      <c r="V43" s="136"/>
      <c r="W43" s="136"/>
      <c r="X43" s="136"/>
      <c r="Y43" s="136"/>
      <c r="Z43" s="136"/>
      <c r="AA43" s="136"/>
      <c r="AB43" s="136"/>
      <c r="AC43" s="136"/>
      <c r="AD43" s="136"/>
      <c r="AE43" s="136"/>
      <c r="AF43" s="136"/>
      <c r="AG43" s="136"/>
      <c r="AH43" s="136"/>
      <c r="AI43" s="136"/>
      <c r="AJ43" s="136"/>
      <c r="AK43" s="136"/>
      <c r="AL43" s="136"/>
      <c r="AM43" s="136"/>
      <c r="AN43" s="136"/>
      <c r="AO43" s="136"/>
      <c r="AP43" s="136"/>
      <c r="AQ43" s="136"/>
      <c r="AR43" s="136"/>
      <c r="AS43" s="136"/>
      <c r="AT43" s="136"/>
      <c r="AU43" s="136"/>
      <c r="AV43" s="136"/>
      <c r="AW43" s="136"/>
      <c r="AX43" s="136"/>
      <c r="AY43" s="136"/>
      <c r="AZ43" s="136"/>
      <c r="BA43" s="136"/>
      <c r="BB43" s="136"/>
      <c r="BC43" s="136"/>
      <c r="BD43" s="136"/>
      <c r="BE43" s="136"/>
      <c r="BF43" s="136"/>
      <c r="BG43" s="136"/>
      <c r="BH43" s="136"/>
      <c r="BI43" s="136"/>
      <c r="BJ43" s="136"/>
      <c r="BK43" s="136"/>
      <c r="BL43" s="136"/>
      <c r="BM43" s="136"/>
      <c r="BN43" s="136"/>
      <c r="BO43" s="136"/>
      <c r="BP43" s="136"/>
      <c r="BQ43" s="136"/>
      <c r="BR43" s="136"/>
      <c r="BS43" s="136"/>
      <c r="BT43" s="136"/>
      <c r="BU43" s="136"/>
      <c r="BV43" s="136"/>
    </row>
    <row r="44" spans="1:74" s="8" customFormat="1" ht="18" customHeight="1" x14ac:dyDescent="0.2">
      <c r="A44" s="85"/>
      <c r="B44" s="77"/>
      <c r="C44" s="1"/>
      <c r="D44" s="1"/>
      <c r="E44" s="1"/>
      <c r="F44" s="1"/>
      <c r="G44" s="1"/>
      <c r="H44" s="1"/>
      <c r="I44" s="1"/>
      <c r="J44" s="1"/>
      <c r="K44" s="1"/>
      <c r="L44" s="1"/>
      <c r="M44" s="1"/>
      <c r="N44" s="1"/>
      <c r="O44" s="1"/>
      <c r="P44" s="1"/>
      <c r="Q44" s="1"/>
      <c r="R44" s="78"/>
      <c r="S44" s="85"/>
      <c r="T44" s="93"/>
      <c r="U44" s="10"/>
      <c r="V44" s="10"/>
      <c r="W44" s="10"/>
      <c r="X44" s="10"/>
      <c r="Y44" s="10"/>
      <c r="Z44" s="10"/>
      <c r="AA44" s="10"/>
      <c r="AB44" s="10"/>
      <c r="AC44" s="10"/>
      <c r="AD44" s="10"/>
      <c r="AE44" s="10"/>
      <c r="AF44" s="10"/>
      <c r="AG44" s="10"/>
      <c r="AH44" s="10"/>
      <c r="AI44" s="10"/>
      <c r="AJ44" s="10"/>
      <c r="AK44" s="10"/>
      <c r="AL44" s="10"/>
      <c r="AM44" s="10"/>
      <c r="AN44" s="10"/>
      <c r="AO44" s="10"/>
      <c r="AP44" s="10"/>
      <c r="AQ44" s="10"/>
      <c r="AR44" s="10"/>
      <c r="AS44" s="10"/>
      <c r="AT44" s="10"/>
      <c r="AU44" s="10"/>
      <c r="AV44" s="10"/>
      <c r="AW44" s="10"/>
      <c r="AX44" s="10"/>
      <c r="AY44" s="10"/>
      <c r="AZ44" s="10"/>
      <c r="BA44" s="10"/>
      <c r="BB44" s="10"/>
      <c r="BC44" s="10"/>
      <c r="BD44" s="10"/>
      <c r="BE44" s="10"/>
      <c r="BF44" s="10"/>
      <c r="BG44" s="10"/>
      <c r="BH44" s="10"/>
      <c r="BI44" s="10"/>
      <c r="BJ44" s="10"/>
      <c r="BK44" s="10"/>
      <c r="BL44" s="10"/>
      <c r="BM44" s="10"/>
      <c r="BN44" s="10"/>
      <c r="BO44" s="10"/>
      <c r="BP44" s="10"/>
      <c r="BQ44" s="10"/>
      <c r="BR44" s="10"/>
      <c r="BS44" s="10"/>
      <c r="BT44" s="10"/>
      <c r="BU44" s="10"/>
      <c r="BV44" s="10"/>
    </row>
    <row r="45" spans="1:74" s="9" customFormat="1" ht="41" customHeight="1" x14ac:dyDescent="0.25">
      <c r="A45" s="85"/>
      <c r="B45" s="77"/>
      <c r="C45" s="45" t="s">
        <v>49</v>
      </c>
      <c r="D45" s="46"/>
      <c r="E45" s="47" t="s">
        <v>50</v>
      </c>
      <c r="F45" s="46"/>
      <c r="G45" s="47" t="s">
        <v>51</v>
      </c>
      <c r="H45" s="48"/>
      <c r="I45" s="49" t="s">
        <v>52</v>
      </c>
      <c r="J45" s="49"/>
      <c r="K45" s="49" t="s">
        <v>53</v>
      </c>
      <c r="L45" s="49"/>
      <c r="M45" s="49" t="s">
        <v>54</v>
      </c>
      <c r="N45" s="48"/>
      <c r="O45" s="48"/>
      <c r="P45" s="50"/>
      <c r="Q45" s="48"/>
      <c r="R45" s="78"/>
      <c r="S45" s="85"/>
      <c r="T45" s="152" t="s">
        <v>55</v>
      </c>
      <c r="U45" s="10"/>
      <c r="V45" s="10"/>
      <c r="W45" s="10"/>
      <c r="X45" s="10"/>
      <c r="Y45" s="10"/>
      <c r="Z45" s="10"/>
      <c r="AA45" s="10"/>
      <c r="AB45" s="10"/>
      <c r="AC45" s="10"/>
      <c r="AD45" s="10"/>
      <c r="AE45" s="10"/>
      <c r="AF45" s="10"/>
      <c r="AG45" s="10"/>
      <c r="AH45" s="10"/>
      <c r="AI45" s="10"/>
      <c r="AJ45" s="10"/>
      <c r="AK45" s="10"/>
      <c r="AL45" s="10"/>
      <c r="AM45" s="10"/>
      <c r="AN45" s="10"/>
      <c r="AO45" s="10"/>
      <c r="AP45" s="10"/>
      <c r="AQ45" s="10"/>
      <c r="AR45" s="10"/>
      <c r="AS45" s="10"/>
      <c r="AT45" s="10"/>
      <c r="AU45" s="10"/>
      <c r="AV45" s="10"/>
      <c r="AW45" s="10"/>
      <c r="AX45" s="10"/>
      <c r="AY45" s="10"/>
      <c r="AZ45" s="10"/>
      <c r="BA45" s="10"/>
      <c r="BB45" s="10"/>
      <c r="BC45" s="10"/>
      <c r="BD45" s="10"/>
      <c r="BE45" s="10"/>
      <c r="BF45" s="10"/>
      <c r="BG45" s="10"/>
      <c r="BH45" s="10"/>
      <c r="BI45" s="10"/>
      <c r="BJ45" s="10"/>
      <c r="BK45" s="10"/>
      <c r="BL45" s="10"/>
      <c r="BM45" s="10"/>
      <c r="BN45" s="10"/>
      <c r="BO45" s="10"/>
      <c r="BP45" s="10"/>
      <c r="BQ45" s="10"/>
      <c r="BR45" s="10"/>
      <c r="BS45" s="10"/>
      <c r="BT45" s="10"/>
      <c r="BU45" s="10"/>
      <c r="BV45" s="10"/>
    </row>
    <row r="46" spans="1:74" ht="16" customHeight="1" x14ac:dyDescent="0.2">
      <c r="B46" s="75"/>
      <c r="C46" s="51"/>
      <c r="D46" s="46"/>
      <c r="E46" s="137"/>
      <c r="F46" s="138"/>
      <c r="G46" s="137"/>
      <c r="H46" s="137"/>
      <c r="I46" s="137"/>
      <c r="J46" s="137"/>
      <c r="K46" s="137"/>
      <c r="L46" s="137"/>
      <c r="M46" s="137"/>
      <c r="N46" s="137"/>
      <c r="O46" s="137"/>
      <c r="P46" s="139"/>
      <c r="Q46" s="137"/>
      <c r="R46" s="76"/>
      <c r="T46" s="152"/>
    </row>
    <row r="47" spans="1:74" customFormat="1" ht="20" customHeight="1" x14ac:dyDescent="0.2">
      <c r="A47" s="82"/>
      <c r="B47" s="75"/>
      <c r="C47" s="51" t="s">
        <v>26</v>
      </c>
      <c r="D47" s="46"/>
      <c r="E47" s="52" t="s">
        <v>56</v>
      </c>
      <c r="F47" s="138"/>
      <c r="G47" s="53"/>
      <c r="H47" s="54"/>
      <c r="I47" s="55"/>
      <c r="J47" s="54"/>
      <c r="K47" s="55"/>
      <c r="L47" s="56"/>
      <c r="M47" s="55"/>
      <c r="N47" s="56"/>
      <c r="O47" s="56"/>
      <c r="P47" s="140"/>
      <c r="Q47" s="56"/>
      <c r="R47" s="76"/>
      <c r="S47" s="82"/>
      <c r="T47" s="152"/>
      <c r="U47" s="12"/>
      <c r="V47" s="12"/>
      <c r="W47" s="12"/>
      <c r="X47" s="12"/>
      <c r="Y47" s="12"/>
      <c r="Z47" s="12"/>
      <c r="AA47" s="1"/>
      <c r="AB47" s="1"/>
      <c r="AC47" s="1"/>
      <c r="AD47" s="1"/>
      <c r="AE47" s="1"/>
      <c r="AF47" s="1"/>
      <c r="AG47" s="1"/>
      <c r="AH47" s="1"/>
      <c r="AI47" s="1"/>
      <c r="AJ47" s="1"/>
      <c r="AK47" s="1"/>
      <c r="AL47" s="1"/>
      <c r="AM47" s="1"/>
      <c r="AN47" s="1"/>
      <c r="AO47" s="1"/>
      <c r="AP47" s="1"/>
      <c r="AQ47" s="1"/>
      <c r="AR47" s="1"/>
      <c r="AS47" s="1"/>
      <c r="AT47" s="1"/>
      <c r="AU47" s="1"/>
      <c r="AV47" s="1"/>
      <c r="AW47" s="1"/>
      <c r="AX47" s="1"/>
      <c r="AY47" s="1"/>
      <c r="AZ47" s="1"/>
      <c r="BA47" s="1"/>
      <c r="BB47" s="1"/>
      <c r="BC47" s="1"/>
      <c r="BD47" s="1"/>
      <c r="BE47" s="1"/>
      <c r="BF47" s="1"/>
      <c r="BG47" s="1"/>
      <c r="BH47" s="1"/>
      <c r="BI47" s="1"/>
      <c r="BJ47" s="1"/>
      <c r="BK47" s="1"/>
      <c r="BL47" s="1"/>
      <c r="BM47" s="1"/>
      <c r="BN47" s="1"/>
      <c r="BO47" s="1"/>
      <c r="BP47" s="1"/>
      <c r="BQ47" s="1"/>
      <c r="BR47" s="1"/>
      <c r="BS47" s="1"/>
      <c r="BT47" s="1"/>
      <c r="BU47" s="1"/>
      <c r="BV47" s="1"/>
    </row>
    <row r="48" spans="1:74" customFormat="1" ht="16" customHeight="1" x14ac:dyDescent="0.2">
      <c r="A48" s="82"/>
      <c r="B48" s="75"/>
      <c r="C48" s="51"/>
      <c r="D48" s="46"/>
      <c r="E48" s="56"/>
      <c r="F48" s="138"/>
      <c r="G48" s="54"/>
      <c r="H48" s="54"/>
      <c r="I48" s="54"/>
      <c r="J48" s="54"/>
      <c r="K48" s="54"/>
      <c r="L48" s="56"/>
      <c r="M48" s="54"/>
      <c r="N48" s="56"/>
      <c r="O48" s="56"/>
      <c r="P48" s="140"/>
      <c r="Q48" s="56"/>
      <c r="R48" s="76"/>
      <c r="S48" s="82"/>
      <c r="T48" s="152"/>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1"/>
      <c r="BK48" s="1"/>
      <c r="BL48" s="1"/>
      <c r="BM48" s="1"/>
      <c r="BN48" s="1"/>
      <c r="BO48" s="1"/>
      <c r="BP48" s="1"/>
      <c r="BQ48" s="1"/>
      <c r="BR48" s="1"/>
      <c r="BS48" s="1"/>
      <c r="BT48" s="1"/>
      <c r="BU48" s="1"/>
      <c r="BV48" s="1"/>
    </row>
    <row r="49" spans="1:74" customFormat="1" ht="20" customHeight="1" x14ac:dyDescent="0.2">
      <c r="A49" s="82"/>
      <c r="B49" s="75"/>
      <c r="C49" s="51" t="s">
        <v>11</v>
      </c>
      <c r="D49" s="46"/>
      <c r="E49" s="52" t="s">
        <v>57</v>
      </c>
      <c r="F49" s="138"/>
      <c r="G49" s="53"/>
      <c r="H49" s="54"/>
      <c r="I49" s="55"/>
      <c r="J49" s="54"/>
      <c r="K49" s="55"/>
      <c r="L49" s="56"/>
      <c r="M49" s="55"/>
      <c r="N49" s="56"/>
      <c r="O49" s="56"/>
      <c r="P49" s="140"/>
      <c r="Q49" s="56"/>
      <c r="R49" s="76"/>
      <c r="S49" s="82"/>
      <c r="T49" s="152"/>
      <c r="U49" s="12"/>
      <c r="V49" s="12"/>
      <c r="W49" s="12"/>
      <c r="X49" s="12"/>
      <c r="Y49" s="12"/>
      <c r="Z49" s="12"/>
      <c r="AA49" s="1"/>
      <c r="AB49" s="1"/>
      <c r="AC49" s="1"/>
      <c r="AD49" s="1"/>
      <c r="AE49" s="1"/>
      <c r="AF49" s="1"/>
      <c r="AG49" s="1"/>
      <c r="AH49" s="1"/>
      <c r="AI49" s="1"/>
      <c r="AJ49" s="1"/>
      <c r="AK49" s="1"/>
      <c r="AL49" s="1"/>
      <c r="AM49" s="1"/>
      <c r="AN49" s="1"/>
      <c r="AO49" s="1"/>
      <c r="AP49" s="1"/>
      <c r="AQ49" s="1"/>
      <c r="AR49" s="1"/>
      <c r="AS49" s="1"/>
      <c r="AT49" s="1"/>
      <c r="AU49" s="1"/>
      <c r="AV49" s="1"/>
      <c r="AW49" s="1"/>
      <c r="AX49" s="1"/>
      <c r="AY49" s="1"/>
      <c r="AZ49" s="1"/>
      <c r="BA49" s="1"/>
      <c r="BB49" s="1"/>
      <c r="BC49" s="1"/>
      <c r="BD49" s="1"/>
      <c r="BE49" s="1"/>
      <c r="BF49" s="1"/>
      <c r="BG49" s="1"/>
      <c r="BH49" s="1"/>
      <c r="BI49" s="1"/>
      <c r="BJ49" s="1"/>
      <c r="BK49" s="1"/>
      <c r="BL49" s="1"/>
      <c r="BM49" s="1"/>
      <c r="BN49" s="1"/>
      <c r="BO49" s="1"/>
      <c r="BP49" s="1"/>
      <c r="BQ49" s="1"/>
      <c r="BR49" s="1"/>
      <c r="BS49" s="1"/>
      <c r="BT49" s="1"/>
      <c r="BU49" s="1"/>
      <c r="BV49" s="1"/>
    </row>
    <row r="50" spans="1:74" customFormat="1" ht="16" customHeight="1" x14ac:dyDescent="0.2">
      <c r="A50" s="82"/>
      <c r="B50" s="75"/>
      <c r="C50" s="51"/>
      <c r="D50" s="46"/>
      <c r="E50" s="56"/>
      <c r="F50" s="138"/>
      <c r="G50" s="54"/>
      <c r="H50" s="54"/>
      <c r="I50" s="54"/>
      <c r="J50" s="54"/>
      <c r="K50" s="54"/>
      <c r="L50" s="56"/>
      <c r="M50" s="54"/>
      <c r="N50" s="56"/>
      <c r="O50" s="56"/>
      <c r="P50" s="140"/>
      <c r="Q50" s="56"/>
      <c r="R50" s="76"/>
      <c r="S50" s="82"/>
      <c r="T50" s="152"/>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1"/>
      <c r="BK50" s="1"/>
      <c r="BL50" s="1"/>
      <c r="BM50" s="1"/>
      <c r="BN50" s="1"/>
      <c r="BO50" s="1"/>
      <c r="BP50" s="1"/>
      <c r="BQ50" s="1"/>
      <c r="BR50" s="1"/>
      <c r="BS50" s="1"/>
      <c r="BT50" s="1"/>
      <c r="BU50" s="1"/>
      <c r="BV50" s="1"/>
    </row>
    <row r="51" spans="1:74" customFormat="1" ht="20" customHeight="1" x14ac:dyDescent="0.2">
      <c r="A51" s="82"/>
      <c r="B51" s="75"/>
      <c r="C51" s="51" t="s">
        <v>32</v>
      </c>
      <c r="D51" s="46"/>
      <c r="E51" s="52" t="s">
        <v>126</v>
      </c>
      <c r="F51" s="138"/>
      <c r="G51" s="151" t="s">
        <v>246</v>
      </c>
      <c r="H51" s="54"/>
      <c r="I51" s="55" t="s">
        <v>247</v>
      </c>
      <c r="J51" s="54"/>
      <c r="K51" s="55" t="s">
        <v>248</v>
      </c>
      <c r="L51" s="56"/>
      <c r="M51" s="55" t="s">
        <v>249</v>
      </c>
      <c r="N51" s="56"/>
      <c r="O51" s="56"/>
      <c r="P51" s="140"/>
      <c r="Q51" s="56"/>
      <c r="R51" s="76"/>
      <c r="S51" s="82"/>
      <c r="T51" s="152"/>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c r="BL51" s="1"/>
      <c r="BM51" s="1"/>
      <c r="BN51" s="1"/>
      <c r="BO51" s="1"/>
      <c r="BP51" s="1"/>
      <c r="BQ51" s="1"/>
      <c r="BR51" s="1"/>
      <c r="BS51" s="1"/>
      <c r="BT51" s="1"/>
      <c r="BU51" s="1"/>
      <c r="BV51" s="1"/>
    </row>
    <row r="52" spans="1:74" customFormat="1" ht="16" customHeight="1" x14ac:dyDescent="0.2">
      <c r="A52" s="82"/>
      <c r="B52" s="75"/>
      <c r="C52" s="51"/>
      <c r="D52" s="46"/>
      <c r="E52" s="56"/>
      <c r="F52" s="138"/>
      <c r="G52" s="54"/>
      <c r="H52" s="54"/>
      <c r="I52" s="54"/>
      <c r="J52" s="54"/>
      <c r="K52" s="54"/>
      <c r="L52" s="56"/>
      <c r="M52" s="54"/>
      <c r="N52" s="56"/>
      <c r="O52" s="56"/>
      <c r="P52" s="140"/>
      <c r="Q52" s="56"/>
      <c r="R52" s="76"/>
      <c r="S52" s="82"/>
      <c r="T52" s="152"/>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c r="BJ52" s="1"/>
      <c r="BK52" s="1"/>
      <c r="BL52" s="1"/>
      <c r="BM52" s="1"/>
      <c r="BN52" s="1"/>
      <c r="BO52" s="1"/>
      <c r="BP52" s="1"/>
      <c r="BQ52" s="1"/>
      <c r="BR52" s="1"/>
      <c r="BS52" s="1"/>
      <c r="BT52" s="1"/>
      <c r="BU52" s="1"/>
      <c r="BV52" s="1"/>
    </row>
    <row r="53" spans="1:74" customFormat="1" ht="20" customHeight="1" x14ac:dyDescent="0.2">
      <c r="A53" s="82"/>
      <c r="B53" s="75"/>
      <c r="C53" s="32">
        <f>E11</f>
        <v>0</v>
      </c>
      <c r="D53" s="46"/>
      <c r="E53" s="52">
        <f>E11</f>
        <v>0</v>
      </c>
      <c r="F53" s="138"/>
      <c r="G53" s="53"/>
      <c r="H53" s="54"/>
      <c r="I53" s="55"/>
      <c r="J53" s="54"/>
      <c r="K53" s="55"/>
      <c r="L53" s="56"/>
      <c r="M53" s="55"/>
      <c r="N53" s="56"/>
      <c r="O53" s="56"/>
      <c r="P53" s="140"/>
      <c r="Q53" s="56"/>
      <c r="R53" s="76"/>
      <c r="S53" s="82"/>
      <c r="T53" s="152"/>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c r="BJ53" s="1"/>
      <c r="BK53" s="1"/>
      <c r="BL53" s="1"/>
      <c r="BM53" s="1"/>
      <c r="BN53" s="1"/>
      <c r="BO53" s="1"/>
      <c r="BP53" s="1"/>
      <c r="BQ53" s="1"/>
      <c r="BR53" s="1"/>
      <c r="BS53" s="1"/>
      <c r="BT53" s="1"/>
      <c r="BU53" s="1"/>
      <c r="BV53" s="1"/>
    </row>
    <row r="54" spans="1:74" customFormat="1" ht="16" customHeight="1" x14ac:dyDescent="0.2">
      <c r="A54" s="82"/>
      <c r="B54" s="75"/>
      <c r="C54" s="51"/>
      <c r="D54" s="46"/>
      <c r="E54" s="137"/>
      <c r="F54" s="138"/>
      <c r="G54" s="141"/>
      <c r="H54" s="141"/>
      <c r="I54" s="141"/>
      <c r="J54" s="141"/>
      <c r="K54" s="141"/>
      <c r="L54" s="137"/>
      <c r="M54" s="141"/>
      <c r="N54" s="137"/>
      <c r="O54" s="137"/>
      <c r="P54" s="140"/>
      <c r="Q54" s="137"/>
      <c r="R54" s="76"/>
      <c r="S54" s="82"/>
      <c r="T54" s="152"/>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c r="BO54" s="1"/>
      <c r="BP54" s="1"/>
      <c r="BQ54" s="1"/>
      <c r="BR54" s="1"/>
      <c r="BS54" s="1"/>
      <c r="BT54" s="1"/>
      <c r="BU54" s="1"/>
      <c r="BV54" s="1"/>
    </row>
    <row r="55" spans="1:74" customFormat="1" ht="44" customHeight="1" x14ac:dyDescent="0.15">
      <c r="A55" s="82"/>
      <c r="B55" s="75"/>
      <c r="C55" s="51" t="s">
        <v>59</v>
      </c>
      <c r="D55" s="57"/>
      <c r="E55" s="57" t="s">
        <v>60</v>
      </c>
      <c r="F55" s="58"/>
      <c r="G55" s="58"/>
      <c r="H55" s="58"/>
      <c r="I55" s="58"/>
      <c r="J55" s="58"/>
      <c r="K55" s="58"/>
      <c r="L55" s="58"/>
      <c r="M55" s="58"/>
      <c r="N55" s="58"/>
      <c r="O55" s="58"/>
      <c r="P55" s="58"/>
      <c r="Q55" s="58"/>
      <c r="R55" s="76"/>
      <c r="S55" s="82"/>
      <c r="T55" s="152"/>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c r="BM55" s="1"/>
      <c r="BN55" s="1"/>
      <c r="BO55" s="1"/>
      <c r="BP55" s="1"/>
      <c r="BQ55" s="1"/>
      <c r="BR55" s="1"/>
      <c r="BS55" s="1"/>
      <c r="BT55" s="1"/>
      <c r="BU55" s="1"/>
      <c r="BV55" s="1"/>
    </row>
    <row r="56" spans="1:74" customFormat="1" ht="16" customHeight="1" x14ac:dyDescent="0.2">
      <c r="A56" s="82"/>
      <c r="B56" s="75"/>
      <c r="C56" s="51"/>
      <c r="D56" s="46"/>
      <c r="E56" s="137"/>
      <c r="F56" s="138"/>
      <c r="G56" s="141"/>
      <c r="H56" s="141"/>
      <c r="I56" s="141"/>
      <c r="J56" s="141"/>
      <c r="K56" s="141"/>
      <c r="L56" s="137"/>
      <c r="M56" s="141"/>
      <c r="N56" s="137"/>
      <c r="O56" s="137"/>
      <c r="P56" s="140"/>
      <c r="Q56" s="137"/>
      <c r="R56" s="76"/>
      <c r="S56" s="82"/>
      <c r="T56" s="117"/>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row>
    <row r="57" spans="1:74" customFormat="1" ht="16" customHeight="1" x14ac:dyDescent="0.25">
      <c r="A57" s="82"/>
      <c r="B57" s="75"/>
      <c r="C57" s="59"/>
      <c r="D57" s="59"/>
      <c r="E57" s="59"/>
      <c r="F57" s="59"/>
      <c r="G57" s="59"/>
      <c r="H57" s="59"/>
      <c r="I57" s="59"/>
      <c r="J57" s="59"/>
      <c r="K57" s="59"/>
      <c r="L57" s="59"/>
      <c r="M57" s="59"/>
      <c r="N57" s="60"/>
      <c r="O57" s="59"/>
      <c r="P57" s="59"/>
      <c r="Q57" s="61"/>
      <c r="R57" s="76"/>
      <c r="S57" s="82"/>
      <c r="T57" s="96"/>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row>
    <row r="58" spans="1:74" customFormat="1" ht="16" customHeight="1" x14ac:dyDescent="0.25">
      <c r="A58" s="82"/>
      <c r="B58" s="75"/>
      <c r="C58" s="59"/>
      <c r="D58" s="59"/>
      <c r="E58" s="59"/>
      <c r="F58" s="59"/>
      <c r="G58" s="59"/>
      <c r="H58" s="59"/>
      <c r="I58" s="59"/>
      <c r="J58" s="59"/>
      <c r="K58" s="59"/>
      <c r="L58" s="59"/>
      <c r="M58" s="59"/>
      <c r="N58" s="60"/>
      <c r="O58" s="59"/>
      <c r="P58" s="59"/>
      <c r="Q58" s="61"/>
      <c r="R58" s="76"/>
      <c r="S58" s="82"/>
      <c r="T58" s="96"/>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row>
    <row r="59" spans="1:74" customFormat="1" ht="29" customHeight="1" x14ac:dyDescent="0.2">
      <c r="A59" s="82"/>
      <c r="B59" s="142"/>
      <c r="C59" s="153" t="s">
        <v>61</v>
      </c>
      <c r="D59" s="153"/>
      <c r="E59" s="153"/>
      <c r="F59" s="153"/>
      <c r="G59" s="153"/>
      <c r="H59" s="153"/>
      <c r="I59" s="43"/>
      <c r="J59" s="43"/>
      <c r="K59" s="43"/>
      <c r="L59" s="43"/>
      <c r="M59" s="43"/>
      <c r="N59" s="43"/>
      <c r="O59" s="43"/>
      <c r="P59" s="44"/>
      <c r="Q59" s="43"/>
      <c r="R59" s="143"/>
      <c r="S59" s="144"/>
      <c r="T59" s="93"/>
      <c r="U59" s="145"/>
      <c r="V59" s="145"/>
      <c r="W59" s="145"/>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row>
    <row r="60" spans="1:74" customFormat="1" ht="17" customHeight="1" thickBot="1" x14ac:dyDescent="0.25">
      <c r="A60" s="82"/>
      <c r="B60" s="142"/>
      <c r="C60" s="39"/>
      <c r="D60" s="39"/>
      <c r="E60" s="40"/>
      <c r="F60" s="35"/>
      <c r="G60" s="35"/>
      <c r="H60" s="35"/>
      <c r="I60" s="35"/>
      <c r="J60" s="35"/>
      <c r="K60" s="35"/>
      <c r="L60" s="35"/>
      <c r="M60" s="35"/>
      <c r="N60" s="35"/>
      <c r="O60" s="35"/>
      <c r="P60" s="35"/>
      <c r="Q60" s="35"/>
      <c r="R60" s="143"/>
      <c r="S60" s="144"/>
      <c r="T60" s="93"/>
      <c r="U60" s="145"/>
      <c r="V60" s="145"/>
      <c r="W60" s="145"/>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row>
    <row r="61" spans="1:74" s="9" customFormat="1" ht="41" customHeight="1" thickTop="1" thickBot="1" x14ac:dyDescent="0.25">
      <c r="A61" s="85"/>
      <c r="B61" s="77"/>
      <c r="C61" s="29" t="s">
        <v>62</v>
      </c>
      <c r="D61" s="25"/>
      <c r="E61" s="30">
        <v>45536</v>
      </c>
      <c r="F61" s="35"/>
      <c r="G61" s="29" t="s">
        <v>63</v>
      </c>
      <c r="H61" s="35"/>
      <c r="I61" s="30">
        <v>45900</v>
      </c>
      <c r="J61" s="35"/>
      <c r="K61" s="31" t="s">
        <v>64</v>
      </c>
      <c r="L61" s="35"/>
      <c r="M61" s="26"/>
      <c r="N61" s="35"/>
      <c r="O61" s="35"/>
      <c r="P61" s="35"/>
      <c r="Q61" s="35"/>
      <c r="R61" s="78"/>
      <c r="S61" s="85"/>
      <c r="T61" s="117" t="s">
        <v>65</v>
      </c>
      <c r="U61" s="10"/>
      <c r="V61" s="10"/>
      <c r="W61" s="10"/>
      <c r="X61" s="10"/>
      <c r="Y61" s="10"/>
      <c r="Z61" s="10"/>
      <c r="AA61" s="10"/>
      <c r="AB61" s="10"/>
      <c r="AC61" s="10"/>
      <c r="AD61" s="10"/>
      <c r="AE61" s="10"/>
      <c r="AF61" s="10"/>
      <c r="AG61" s="10"/>
      <c r="AH61" s="10"/>
      <c r="AI61" s="10"/>
      <c r="AJ61" s="10"/>
      <c r="AK61" s="10"/>
      <c r="AL61" s="10"/>
      <c r="AM61" s="10"/>
      <c r="AN61" s="10"/>
      <c r="AO61" s="10"/>
      <c r="AP61" s="10"/>
      <c r="AQ61" s="10"/>
      <c r="AR61" s="10"/>
      <c r="AS61" s="10"/>
      <c r="AT61" s="10"/>
      <c r="AU61" s="10"/>
      <c r="AV61" s="10"/>
      <c r="AW61" s="10"/>
      <c r="AX61" s="10"/>
      <c r="AY61" s="10"/>
      <c r="AZ61" s="10"/>
      <c r="BA61" s="10"/>
      <c r="BB61" s="10"/>
      <c r="BC61" s="10"/>
      <c r="BD61" s="10"/>
      <c r="BE61" s="10"/>
      <c r="BF61" s="10"/>
      <c r="BG61" s="10"/>
      <c r="BH61" s="10"/>
      <c r="BI61" s="10"/>
      <c r="BJ61" s="10"/>
      <c r="BK61" s="10"/>
      <c r="BL61" s="10"/>
      <c r="BM61" s="10"/>
      <c r="BN61" s="10"/>
      <c r="BO61" s="10"/>
      <c r="BP61" s="10"/>
      <c r="BQ61" s="10"/>
      <c r="BR61" s="10"/>
      <c r="BS61" s="10"/>
      <c r="BT61" s="10"/>
      <c r="BU61" s="10"/>
      <c r="BV61" s="10"/>
    </row>
    <row r="62" spans="1:74" ht="20" thickTop="1" x14ac:dyDescent="0.25">
      <c r="B62" s="75"/>
      <c r="C62" s="39"/>
      <c r="D62" s="39"/>
      <c r="E62" s="40"/>
      <c r="F62" s="59"/>
      <c r="G62" s="59"/>
      <c r="H62" s="59"/>
      <c r="I62" s="59"/>
      <c r="J62" s="59"/>
      <c r="K62" s="59"/>
      <c r="L62" s="59"/>
      <c r="M62" s="59"/>
      <c r="N62" s="60"/>
      <c r="O62" s="59"/>
      <c r="P62" s="59"/>
      <c r="Q62" s="61"/>
      <c r="R62" s="76"/>
      <c r="T62" s="117" t="s">
        <v>66</v>
      </c>
    </row>
    <row r="63" spans="1:74" customFormat="1" ht="41" customHeight="1" x14ac:dyDescent="0.15">
      <c r="A63" s="82"/>
      <c r="B63" s="75"/>
      <c r="C63" s="108" t="s">
        <v>67</v>
      </c>
      <c r="D63" s="108"/>
      <c r="E63" s="108"/>
      <c r="F63" s="108"/>
      <c r="G63" s="108"/>
      <c r="H63" s="108"/>
      <c r="I63" s="43"/>
      <c r="J63" s="43"/>
      <c r="K63" s="43"/>
      <c r="L63" s="43"/>
      <c r="M63" s="43"/>
      <c r="N63" s="43"/>
      <c r="O63" s="43"/>
      <c r="P63" s="44"/>
      <c r="Q63" s="43"/>
      <c r="R63" s="76"/>
      <c r="S63" s="82"/>
      <c r="T63" s="117" t="s">
        <v>68</v>
      </c>
      <c r="U63" s="12"/>
      <c r="V63" s="12"/>
      <c r="W63" s="12"/>
      <c r="X63" s="12"/>
      <c r="Y63" s="12"/>
      <c r="Z63" s="12"/>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row>
    <row r="64" spans="1:74" customFormat="1" ht="17" customHeight="1" thickBot="1" x14ac:dyDescent="0.25">
      <c r="A64" s="82"/>
      <c r="B64" s="142"/>
      <c r="C64" s="35"/>
      <c r="D64" s="35"/>
      <c r="E64" s="35"/>
      <c r="F64" s="35"/>
      <c r="G64" s="35"/>
      <c r="H64" s="35"/>
      <c r="I64" s="35"/>
      <c r="J64" s="35"/>
      <c r="K64" s="35"/>
      <c r="L64" s="35"/>
      <c r="M64" s="35"/>
      <c r="N64" s="35"/>
      <c r="O64" s="35"/>
      <c r="P64" s="35"/>
      <c r="Q64" s="35"/>
      <c r="R64" s="143"/>
      <c r="S64" s="144"/>
      <c r="T64" s="93"/>
      <c r="U64" s="145"/>
      <c r="V64" s="145"/>
      <c r="W64" s="145"/>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row>
    <row r="65" spans="1:74" s="9" customFormat="1" ht="41" customHeight="1" thickTop="1" thickBot="1" x14ac:dyDescent="0.25">
      <c r="A65" s="85"/>
      <c r="B65" s="77"/>
      <c r="C65" s="29" t="s">
        <v>62</v>
      </c>
      <c r="D65" s="25"/>
      <c r="E65" s="30">
        <v>45778</v>
      </c>
      <c r="F65" s="35"/>
      <c r="G65" s="29" t="s">
        <v>63</v>
      </c>
      <c r="H65" s="35"/>
      <c r="I65" s="30">
        <v>45808</v>
      </c>
      <c r="J65" s="35"/>
      <c r="K65" s="35"/>
      <c r="L65" s="35"/>
      <c r="M65" s="35"/>
      <c r="N65" s="35"/>
      <c r="O65" s="35"/>
      <c r="P65" s="35"/>
      <c r="Q65" s="35"/>
      <c r="R65" s="78"/>
      <c r="S65" s="85"/>
      <c r="T65" s="156" t="s">
        <v>69</v>
      </c>
      <c r="U65" s="10"/>
      <c r="V65" s="10"/>
      <c r="W65" s="10"/>
      <c r="X65" s="10"/>
      <c r="Y65" s="10"/>
      <c r="Z65" s="10"/>
      <c r="AA65" s="10"/>
      <c r="AB65" s="10"/>
      <c r="AC65" s="10"/>
      <c r="AD65" s="10"/>
      <c r="AE65" s="10"/>
      <c r="AF65" s="10"/>
      <c r="AG65" s="10"/>
      <c r="AH65" s="10"/>
      <c r="AI65" s="10"/>
      <c r="AJ65" s="10"/>
      <c r="AK65" s="10"/>
      <c r="AL65" s="10"/>
      <c r="AM65" s="10"/>
      <c r="AN65" s="10"/>
      <c r="AO65" s="10"/>
      <c r="AP65" s="10"/>
      <c r="AQ65" s="10"/>
      <c r="AR65" s="10"/>
      <c r="AS65" s="10"/>
      <c r="AT65" s="10"/>
      <c r="AU65" s="10"/>
      <c r="AV65" s="10"/>
      <c r="AW65" s="10"/>
      <c r="AX65" s="10"/>
      <c r="AY65" s="10"/>
      <c r="AZ65" s="10"/>
      <c r="BA65" s="10"/>
      <c r="BB65" s="10"/>
      <c r="BC65" s="10"/>
      <c r="BD65" s="10"/>
      <c r="BE65" s="10"/>
      <c r="BF65" s="10"/>
      <c r="BG65" s="10"/>
      <c r="BH65" s="10"/>
      <c r="BI65" s="10"/>
      <c r="BJ65" s="10"/>
      <c r="BK65" s="10"/>
      <c r="BL65" s="10"/>
      <c r="BM65" s="10"/>
      <c r="BN65" s="10"/>
      <c r="BO65" s="10"/>
      <c r="BP65" s="10"/>
      <c r="BQ65" s="10"/>
      <c r="BR65" s="10"/>
      <c r="BS65" s="10"/>
      <c r="BT65" s="10"/>
      <c r="BU65" s="10"/>
      <c r="BV65" s="10"/>
    </row>
    <row r="66" spans="1:74" ht="20" thickTop="1" x14ac:dyDescent="0.25">
      <c r="B66" s="75"/>
      <c r="C66" s="39"/>
      <c r="D66" s="39"/>
      <c r="E66" s="40"/>
      <c r="F66" s="59"/>
      <c r="G66" s="59"/>
      <c r="H66" s="59"/>
      <c r="I66" s="59"/>
      <c r="J66" s="59"/>
      <c r="K66" s="59"/>
      <c r="L66" s="59"/>
      <c r="M66" s="59"/>
      <c r="N66" s="60"/>
      <c r="O66" s="59"/>
      <c r="P66" s="59"/>
      <c r="Q66" s="61"/>
      <c r="R66" s="76"/>
      <c r="T66" s="156"/>
    </row>
    <row r="67" spans="1:74" customFormat="1" ht="49" customHeight="1" x14ac:dyDescent="0.2">
      <c r="A67" s="82"/>
      <c r="B67" s="75"/>
      <c r="C67" s="153" t="s">
        <v>70</v>
      </c>
      <c r="D67" s="153"/>
      <c r="E67" s="153"/>
      <c r="F67" s="153"/>
      <c r="G67" s="153"/>
      <c r="H67" s="153"/>
      <c r="I67" s="43"/>
      <c r="J67" s="43"/>
      <c r="K67" s="43"/>
      <c r="L67" s="43"/>
      <c r="M67" s="43"/>
      <c r="N67" s="43"/>
      <c r="O67" s="43"/>
      <c r="P67" s="44"/>
      <c r="Q67" s="43"/>
      <c r="R67" s="76"/>
      <c r="S67" s="82"/>
      <c r="T67" s="99"/>
      <c r="U67" s="12"/>
      <c r="V67" s="12"/>
      <c r="W67" s="12"/>
      <c r="X67" s="12"/>
      <c r="Y67" s="12"/>
      <c r="Z67" s="12"/>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c r="BU67" s="1"/>
      <c r="BV67" s="1"/>
    </row>
    <row r="68" spans="1:74" ht="61" customHeight="1" x14ac:dyDescent="0.2">
      <c r="B68" s="75"/>
      <c r="C68" s="154" t="s">
        <v>71</v>
      </c>
      <c r="D68" s="154"/>
      <c r="E68" s="154"/>
      <c r="F68" s="154"/>
      <c r="G68" s="154"/>
      <c r="H68" s="154"/>
      <c r="I68" s="154"/>
      <c r="J68" s="154"/>
      <c r="K68" s="154"/>
      <c r="L68" s="154"/>
      <c r="M68" s="154"/>
      <c r="N68" s="154"/>
      <c r="O68" s="154"/>
      <c r="P68" s="154"/>
      <c r="Q68" s="154"/>
      <c r="R68" s="76"/>
    </row>
    <row r="69" spans="1:74" customFormat="1" ht="67" customHeight="1" x14ac:dyDescent="0.2">
      <c r="A69" s="82"/>
      <c r="B69" s="142"/>
      <c r="C69" s="154" t="s">
        <v>72</v>
      </c>
      <c r="D69" s="154"/>
      <c r="E69" s="154"/>
      <c r="F69" s="154"/>
      <c r="G69" s="154"/>
      <c r="H69" s="154"/>
      <c r="I69" s="154"/>
      <c r="J69" s="154"/>
      <c r="K69" s="154"/>
      <c r="L69" s="154"/>
      <c r="M69" s="154"/>
      <c r="N69" s="154"/>
      <c r="O69" s="154"/>
      <c r="P69" s="154"/>
      <c r="Q69" s="154"/>
      <c r="R69" s="143"/>
      <c r="S69" s="144"/>
      <c r="T69" s="93"/>
      <c r="U69" s="145"/>
      <c r="V69" s="145"/>
      <c r="W69" s="145"/>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c r="BU69" s="1"/>
      <c r="BV69" s="1"/>
    </row>
    <row r="70" spans="1:74" customFormat="1" ht="67" customHeight="1" x14ac:dyDescent="0.2">
      <c r="A70" s="82"/>
      <c r="B70" s="142"/>
      <c r="C70" s="154" t="s">
        <v>73</v>
      </c>
      <c r="D70" s="154"/>
      <c r="E70" s="154"/>
      <c r="F70" s="154"/>
      <c r="G70" s="154"/>
      <c r="H70" s="154"/>
      <c r="I70" s="154"/>
      <c r="J70" s="154"/>
      <c r="K70" s="154"/>
      <c r="L70" s="154"/>
      <c r="M70" s="154"/>
      <c r="N70" s="154"/>
      <c r="O70" s="154"/>
      <c r="P70" s="154"/>
      <c r="Q70" s="154"/>
      <c r="R70" s="143"/>
      <c r="S70" s="144"/>
      <c r="T70" s="93"/>
      <c r="U70" s="145"/>
      <c r="V70" s="145"/>
      <c r="W70" s="145"/>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c r="BU70" s="1"/>
      <c r="BV70" s="1"/>
    </row>
    <row r="71" spans="1:74" customFormat="1" ht="19" customHeight="1" x14ac:dyDescent="0.25">
      <c r="A71" s="82"/>
      <c r="B71" s="142"/>
      <c r="C71" s="62"/>
      <c r="D71" s="62"/>
      <c r="E71" s="62"/>
      <c r="F71" s="62"/>
      <c r="G71" s="62"/>
      <c r="H71" s="62"/>
      <c r="I71" s="62"/>
      <c r="J71" s="62"/>
      <c r="K71" s="62"/>
      <c r="L71" s="62"/>
      <c r="M71" s="62"/>
      <c r="N71" s="62"/>
      <c r="O71" s="62"/>
      <c r="P71" s="62"/>
      <c r="Q71" s="62"/>
      <c r="R71" s="143"/>
      <c r="S71" s="144"/>
      <c r="T71" s="93"/>
      <c r="U71" s="145"/>
      <c r="V71" s="145"/>
      <c r="W71" s="145"/>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c r="BU71" s="1"/>
      <c r="BV71" s="1"/>
    </row>
    <row r="72" spans="1:74" customFormat="1" ht="55" customHeight="1" x14ac:dyDescent="0.15">
      <c r="A72" s="82"/>
      <c r="B72" s="146"/>
      <c r="C72" s="153" t="s">
        <v>74</v>
      </c>
      <c r="D72" s="153"/>
      <c r="E72" s="153"/>
      <c r="F72" s="153"/>
      <c r="G72" s="153"/>
      <c r="H72" s="153"/>
      <c r="I72" s="155"/>
      <c r="J72" s="155"/>
      <c r="K72" s="155"/>
      <c r="L72" s="155"/>
      <c r="M72" s="155"/>
      <c r="N72" s="155"/>
      <c r="O72" s="155"/>
      <c r="P72" s="155"/>
      <c r="Q72" s="155"/>
      <c r="R72" s="76"/>
      <c r="S72" s="82"/>
      <c r="T72" s="118" t="s">
        <v>75</v>
      </c>
      <c r="U72" s="1"/>
      <c r="V72" s="147"/>
      <c r="W72" s="147"/>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c r="BV72" s="1"/>
    </row>
    <row r="73" spans="1:74" s="8" customFormat="1" ht="18" customHeight="1" x14ac:dyDescent="0.2">
      <c r="A73" s="85"/>
      <c r="B73" s="77"/>
      <c r="C73" s="1"/>
      <c r="D73" s="1"/>
      <c r="E73" s="1"/>
      <c r="F73" s="1"/>
      <c r="G73" s="1"/>
      <c r="H73" s="1"/>
      <c r="I73" s="1"/>
      <c r="J73" s="1"/>
      <c r="K73" s="1"/>
      <c r="L73" s="1"/>
      <c r="M73" s="1"/>
      <c r="N73" s="1"/>
      <c r="O73" s="1"/>
      <c r="P73" s="1"/>
      <c r="Q73" s="1"/>
      <c r="R73" s="78"/>
      <c r="S73" s="85"/>
      <c r="T73" s="118"/>
      <c r="U73" s="10"/>
      <c r="V73" s="10"/>
      <c r="W73" s="10"/>
      <c r="X73" s="10"/>
      <c r="Y73" s="10"/>
      <c r="Z73" s="10"/>
      <c r="AA73" s="10"/>
      <c r="AB73" s="10"/>
      <c r="AC73" s="10"/>
      <c r="AD73" s="10"/>
      <c r="AE73" s="10"/>
      <c r="AF73" s="10"/>
      <c r="AG73" s="10"/>
      <c r="AH73" s="10"/>
      <c r="AI73" s="10"/>
      <c r="AJ73" s="10"/>
      <c r="AK73" s="10"/>
      <c r="AL73" s="10"/>
      <c r="AM73" s="10"/>
      <c r="AN73" s="10"/>
      <c r="AO73" s="10"/>
      <c r="AP73" s="10"/>
      <c r="AQ73" s="10"/>
      <c r="AR73" s="10"/>
      <c r="AS73" s="10"/>
      <c r="AT73" s="10"/>
      <c r="AU73" s="10"/>
      <c r="AV73" s="10"/>
      <c r="AW73" s="10"/>
      <c r="AX73" s="10"/>
      <c r="AY73" s="10"/>
      <c r="AZ73" s="10"/>
      <c r="BA73" s="10"/>
      <c r="BB73" s="10"/>
      <c r="BC73" s="10"/>
      <c r="BD73" s="10"/>
      <c r="BE73" s="10"/>
      <c r="BF73" s="10"/>
      <c r="BG73" s="10"/>
      <c r="BH73" s="10"/>
      <c r="BI73" s="10"/>
      <c r="BJ73" s="10"/>
      <c r="BK73" s="10"/>
      <c r="BL73" s="10"/>
      <c r="BM73" s="10"/>
      <c r="BN73" s="10"/>
      <c r="BO73" s="10"/>
      <c r="BP73" s="10"/>
      <c r="BQ73" s="10"/>
      <c r="BR73" s="10"/>
      <c r="BS73" s="10"/>
      <c r="BT73" s="10"/>
      <c r="BU73" s="10"/>
      <c r="BV73" s="10"/>
    </row>
    <row r="74" spans="1:74" customFormat="1" ht="61" customHeight="1" x14ac:dyDescent="0.15">
      <c r="A74" s="82"/>
      <c r="B74" s="75"/>
      <c r="C74" s="92" t="s">
        <v>76</v>
      </c>
      <c r="D74" s="168" t="s">
        <v>77</v>
      </c>
      <c r="E74" s="169"/>
      <c r="F74" s="169"/>
      <c r="G74" s="169"/>
      <c r="H74" s="169"/>
      <c r="I74" s="169"/>
      <c r="J74" s="169"/>
      <c r="K74" s="169"/>
      <c r="L74" s="170"/>
      <c r="M74" s="171" t="str">
        <f>IF(F13=3,"Days worked in the month", "Person Months")</f>
        <v>Person Months</v>
      </c>
      <c r="N74" s="171"/>
      <c r="O74" s="171"/>
      <c r="P74" s="171"/>
      <c r="Q74" s="171"/>
      <c r="R74" s="76"/>
      <c r="S74" s="82"/>
      <c r="T74" s="107" t="s">
        <v>78</v>
      </c>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P74" s="1"/>
      <c r="BQ74" s="1"/>
      <c r="BR74" s="1"/>
      <c r="BS74" s="1"/>
    </row>
    <row r="75" spans="1:74" customFormat="1" ht="64" customHeight="1" x14ac:dyDescent="0.15">
      <c r="A75" s="82"/>
      <c r="B75" s="75"/>
      <c r="C75" s="100"/>
      <c r="D75" s="172"/>
      <c r="E75" s="173"/>
      <c r="F75" s="173"/>
      <c r="G75" s="173"/>
      <c r="H75" s="173"/>
      <c r="I75" s="173"/>
      <c r="J75" s="173"/>
      <c r="K75" s="173"/>
      <c r="L75" s="174"/>
      <c r="M75" s="175"/>
      <c r="N75" s="175"/>
      <c r="O75" s="175"/>
      <c r="P75" s="175"/>
      <c r="Q75" s="175"/>
      <c r="R75" s="76"/>
      <c r="S75" s="82"/>
      <c r="T75" s="119" t="s">
        <v>79</v>
      </c>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c r="BP75" s="1"/>
      <c r="BQ75" s="1"/>
      <c r="BR75" s="1"/>
      <c r="BS75" s="1"/>
    </row>
    <row r="76" spans="1:74" customFormat="1" ht="13" customHeight="1" x14ac:dyDescent="0.2">
      <c r="A76" s="82"/>
      <c r="B76" s="75"/>
      <c r="C76" s="1"/>
      <c r="D76" s="1"/>
      <c r="E76" s="1"/>
      <c r="F76" s="1"/>
      <c r="G76" s="1"/>
      <c r="H76" s="1"/>
      <c r="I76" s="1"/>
      <c r="J76" s="1"/>
      <c r="K76" s="1"/>
      <c r="L76" s="1"/>
      <c r="M76" s="1"/>
      <c r="N76" s="1"/>
      <c r="O76" s="1"/>
      <c r="P76" s="1"/>
      <c r="Q76" s="1"/>
      <c r="R76" s="76"/>
      <c r="S76" s="82"/>
      <c r="T76" s="93"/>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c r="BR76" s="1"/>
      <c r="BS76" s="1"/>
    </row>
    <row r="77" spans="1:74" customFormat="1" ht="51" customHeight="1" x14ac:dyDescent="0.15">
      <c r="A77" s="82"/>
      <c r="B77" s="75"/>
      <c r="C77" s="92" t="s">
        <v>77</v>
      </c>
      <c r="D77" s="172"/>
      <c r="E77" s="173"/>
      <c r="F77" s="173"/>
      <c r="G77" s="173"/>
      <c r="H77" s="173"/>
      <c r="I77" s="173"/>
      <c r="J77" s="173"/>
      <c r="K77" s="173"/>
      <c r="L77" s="173"/>
      <c r="M77" s="173"/>
      <c r="N77" s="173"/>
      <c r="O77" s="173"/>
      <c r="P77" s="173"/>
      <c r="Q77" s="174"/>
      <c r="R77" s="76"/>
      <c r="S77" s="82"/>
      <c r="T77" s="110"/>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c r="BP77" s="1"/>
      <c r="BQ77" s="1"/>
      <c r="BR77" s="1"/>
      <c r="BS77" s="1"/>
    </row>
    <row r="78" spans="1:74" customFormat="1" ht="42" customHeight="1" x14ac:dyDescent="0.2">
      <c r="A78" s="82"/>
      <c r="B78" s="75"/>
      <c r="C78" s="1"/>
      <c r="D78" s="1"/>
      <c r="E78" s="1"/>
      <c r="F78" s="1"/>
      <c r="G78" s="1"/>
      <c r="H78" s="1"/>
      <c r="I78" s="1"/>
      <c r="J78" s="1"/>
      <c r="K78" s="1"/>
      <c r="L78" s="1"/>
      <c r="M78" s="1"/>
      <c r="N78" s="1"/>
      <c r="O78" s="1"/>
      <c r="P78" s="1"/>
      <c r="Q78" s="1"/>
      <c r="R78" s="76"/>
      <c r="S78" s="82"/>
      <c r="T78" s="93"/>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c r="BP78" s="1"/>
      <c r="BQ78" s="1"/>
      <c r="BR78" s="1"/>
      <c r="BS78" s="1"/>
    </row>
    <row r="79" spans="1:74" customFormat="1" ht="61" customHeight="1" x14ac:dyDescent="0.25">
      <c r="A79" s="82"/>
      <c r="B79" s="75"/>
      <c r="C79" s="63" t="s">
        <v>80</v>
      </c>
      <c r="D79" s="63"/>
      <c r="E79" s="64"/>
      <c r="F79" s="63"/>
      <c r="G79" s="64"/>
      <c r="H79" s="64"/>
      <c r="I79" s="64"/>
      <c r="J79" s="64"/>
      <c r="K79" s="65"/>
      <c r="L79" s="64"/>
      <c r="M79" s="64"/>
      <c r="N79" s="66"/>
      <c r="O79" s="64"/>
      <c r="P79" s="64"/>
      <c r="Q79" s="64"/>
      <c r="R79" s="76"/>
      <c r="S79" s="82"/>
      <c r="T79" s="93"/>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c r="BR79" s="1"/>
      <c r="BS79" s="1"/>
    </row>
    <row r="80" spans="1:74" customFormat="1" ht="36" customHeight="1" x14ac:dyDescent="0.25">
      <c r="A80" s="82"/>
      <c r="B80" s="75"/>
      <c r="C80" s="63"/>
      <c r="D80" s="63"/>
      <c r="E80" s="64"/>
      <c r="F80" s="63"/>
      <c r="G80" s="64"/>
      <c r="H80" s="64"/>
      <c r="I80" s="64"/>
      <c r="J80" s="64"/>
      <c r="K80" s="65"/>
      <c r="L80" s="64"/>
      <c r="M80" s="64"/>
      <c r="N80" s="66"/>
      <c r="O80" s="64"/>
      <c r="P80" s="64"/>
      <c r="Q80" s="64"/>
      <c r="R80" s="76"/>
      <c r="S80" s="82"/>
      <c r="T80" s="117" t="s">
        <v>81</v>
      </c>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row>
    <row r="81" spans="1:74" customFormat="1" ht="56" customHeight="1" x14ac:dyDescent="0.25">
      <c r="A81" s="82"/>
      <c r="B81" s="75"/>
      <c r="C81" s="67" t="s">
        <v>82</v>
      </c>
      <c r="D81" s="63"/>
      <c r="E81" s="161"/>
      <c r="F81" s="162"/>
      <c r="G81" s="162"/>
      <c r="H81" s="163"/>
      <c r="I81" s="7"/>
      <c r="J81" s="68" t="s">
        <v>83</v>
      </c>
      <c r="K81" s="176">
        <v>45813</v>
      </c>
      <c r="L81" s="177"/>
      <c r="M81" s="177"/>
      <c r="N81" s="178"/>
      <c r="O81" s="64"/>
      <c r="P81" s="64"/>
      <c r="Q81" s="64"/>
      <c r="R81" s="76"/>
      <c r="S81" s="82"/>
      <c r="T81" s="120" t="s">
        <v>84</v>
      </c>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row>
    <row r="82" spans="1:74" customFormat="1" ht="15" customHeight="1" x14ac:dyDescent="0.25">
      <c r="A82" s="82"/>
      <c r="B82" s="75"/>
      <c r="C82" s="67"/>
      <c r="D82" s="63"/>
      <c r="E82" s="69"/>
      <c r="F82" s="7"/>
      <c r="G82" s="69"/>
      <c r="H82" s="69"/>
      <c r="I82" s="69"/>
      <c r="J82" s="69"/>
      <c r="K82" s="69"/>
      <c r="L82" s="69"/>
      <c r="M82" s="69"/>
      <c r="N82" s="7"/>
      <c r="O82" s="7"/>
      <c r="P82" s="7"/>
      <c r="Q82" s="7"/>
      <c r="R82" s="76"/>
      <c r="S82" s="82"/>
      <c r="T82" s="120"/>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row>
    <row r="83" spans="1:74" customFormat="1" ht="56" customHeight="1" x14ac:dyDescent="0.25">
      <c r="A83" s="82"/>
      <c r="B83" s="75"/>
      <c r="C83" s="67" t="s">
        <v>85</v>
      </c>
      <c r="D83" s="63"/>
      <c r="E83" s="161" t="str">
        <f>MANAGER</f>
        <v>Alex Cagan</v>
      </c>
      <c r="F83" s="162"/>
      <c r="G83" s="162"/>
      <c r="H83" s="163"/>
      <c r="I83" s="69"/>
      <c r="J83" s="69"/>
      <c r="K83" s="69"/>
      <c r="L83" s="69"/>
      <c r="M83" s="69"/>
      <c r="N83" s="7"/>
      <c r="O83" s="7"/>
      <c r="P83" s="7"/>
      <c r="Q83" s="7"/>
      <c r="R83" s="76"/>
      <c r="S83" s="82"/>
      <c r="T83" s="93"/>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row>
    <row r="84" spans="1:74" customFormat="1" ht="14" customHeight="1" x14ac:dyDescent="0.25">
      <c r="A84" s="82"/>
      <c r="B84" s="75"/>
      <c r="C84" s="70" t="s">
        <v>86</v>
      </c>
      <c r="D84" s="63"/>
      <c r="E84" s="69"/>
      <c r="F84" s="7"/>
      <c r="G84" s="69"/>
      <c r="H84" s="69"/>
      <c r="I84" s="69"/>
      <c r="J84" s="69"/>
      <c r="K84" s="69"/>
      <c r="L84" s="71"/>
      <c r="M84" s="69"/>
      <c r="N84" s="7"/>
      <c r="O84" s="7"/>
      <c r="P84" s="7"/>
      <c r="Q84" s="7"/>
      <c r="R84" s="76"/>
      <c r="S84" s="82"/>
      <c r="T84" s="93"/>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row>
    <row r="85" spans="1:74" customFormat="1" ht="58" customHeight="1" x14ac:dyDescent="0.25">
      <c r="A85" s="82"/>
      <c r="B85" s="75"/>
      <c r="C85" s="67" t="s">
        <v>87</v>
      </c>
      <c r="D85" s="63"/>
      <c r="E85" s="161"/>
      <c r="F85" s="162"/>
      <c r="G85" s="162"/>
      <c r="H85" s="163"/>
      <c r="I85" s="7"/>
      <c r="J85" s="68" t="s">
        <v>83</v>
      </c>
      <c r="K85" s="165"/>
      <c r="L85" s="166"/>
      <c r="M85" s="166"/>
      <c r="N85" s="167"/>
      <c r="O85" s="7"/>
      <c r="P85" s="7"/>
      <c r="Q85" s="7"/>
      <c r="R85" s="76"/>
      <c r="S85" s="82"/>
      <c r="T85" s="93"/>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row>
    <row r="86" spans="1:74" customFormat="1" ht="25" customHeight="1" x14ac:dyDescent="0.25">
      <c r="A86" s="82"/>
      <c r="B86" s="75"/>
      <c r="C86" s="63"/>
      <c r="D86" s="63"/>
      <c r="E86" s="64"/>
      <c r="F86" s="63"/>
      <c r="G86" s="64"/>
      <c r="H86" s="64"/>
      <c r="I86" s="64"/>
      <c r="J86" s="64"/>
      <c r="K86" s="65"/>
      <c r="L86" s="64"/>
      <c r="M86" s="64"/>
      <c r="N86" s="66"/>
      <c r="O86" s="64"/>
      <c r="P86" s="64"/>
      <c r="Q86" s="64"/>
      <c r="R86" s="76"/>
      <c r="S86" s="82"/>
      <c r="T86" s="93"/>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row>
    <row r="87" spans="1:74" customFormat="1" ht="31" customHeight="1" thickBot="1" x14ac:dyDescent="0.25">
      <c r="A87" s="82"/>
      <c r="B87" s="79"/>
      <c r="C87" s="80"/>
      <c r="D87" s="80"/>
      <c r="E87" s="80"/>
      <c r="F87" s="80"/>
      <c r="G87" s="80"/>
      <c r="H87" s="80"/>
      <c r="I87" s="80"/>
      <c r="J87" s="80"/>
      <c r="K87" s="80"/>
      <c r="L87" s="80"/>
      <c r="M87" s="80"/>
      <c r="N87" s="80"/>
      <c r="O87" s="80"/>
      <c r="P87" s="80"/>
      <c r="Q87" s="80"/>
      <c r="R87" s="81"/>
      <c r="S87" s="82"/>
      <c r="T87" s="93"/>
      <c r="U87" s="1"/>
      <c r="V87" s="7"/>
      <c r="W87" s="7"/>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c r="BR87" s="1"/>
      <c r="BS87" s="1"/>
      <c r="BT87" s="1"/>
      <c r="BU87" s="1"/>
      <c r="BV87" s="1"/>
    </row>
    <row r="88" spans="1:74" customFormat="1" ht="38" customHeight="1" x14ac:dyDescent="0.2">
      <c r="A88" s="82"/>
      <c r="B88" s="82"/>
      <c r="C88" s="82"/>
      <c r="D88" s="82"/>
      <c r="E88" s="82"/>
      <c r="F88" s="82"/>
      <c r="G88" s="82"/>
      <c r="H88" s="82"/>
      <c r="I88" s="82"/>
      <c r="J88" s="82"/>
      <c r="K88" s="82"/>
      <c r="L88" s="82"/>
      <c r="M88" s="82"/>
      <c r="N88" s="82"/>
      <c r="O88" s="82"/>
      <c r="P88" s="88"/>
      <c r="Q88" s="82"/>
      <c r="R88" s="82"/>
      <c r="S88" s="82"/>
      <c r="T88" s="93"/>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c r="BR88" s="1"/>
      <c r="BS88" s="1"/>
      <c r="BT88" s="1"/>
      <c r="BU88" s="1"/>
      <c r="BV88" s="1"/>
    </row>
    <row r="89" spans="1:74" ht="0" hidden="1" customHeight="1" x14ac:dyDescent="0.2">
      <c r="C89" s="164"/>
      <c r="D89" s="138"/>
      <c r="E89" s="4"/>
      <c r="F89" s="138"/>
      <c r="G89" s="4"/>
      <c r="H89" s="137"/>
      <c r="I89" s="148"/>
      <c r="J89" s="137"/>
      <c r="K89" s="137"/>
      <c r="L89" s="137"/>
      <c r="M89" s="16" t="s">
        <v>88</v>
      </c>
      <c r="N89" s="137"/>
      <c r="O89" s="137"/>
      <c r="P89" s="15"/>
      <c r="Q89" s="137"/>
    </row>
    <row r="90" spans="1:74" ht="0" hidden="1" customHeight="1" x14ac:dyDescent="0.2">
      <c r="C90" s="164"/>
      <c r="D90" s="138"/>
      <c r="E90" s="137"/>
      <c r="F90" s="138"/>
      <c r="G90" s="137"/>
      <c r="H90" s="137"/>
      <c r="I90" s="137"/>
      <c r="J90" s="137"/>
      <c r="K90" s="137"/>
      <c r="L90" s="137"/>
      <c r="M90" s="149"/>
      <c r="N90" s="137"/>
      <c r="O90" s="137"/>
      <c r="P90" s="150"/>
      <c r="Q90" s="137"/>
    </row>
    <row r="91" spans="1:74" ht="0" hidden="1" customHeight="1" x14ac:dyDescent="0.2">
      <c r="C91" s="164"/>
      <c r="D91" s="138"/>
      <c r="E91" s="4"/>
      <c r="F91" s="138"/>
      <c r="G91" s="4"/>
      <c r="H91" s="137"/>
      <c r="I91" s="148"/>
      <c r="J91" s="137"/>
      <c r="K91" s="137"/>
      <c r="L91" s="137"/>
      <c r="M91" s="16" t="s">
        <v>88</v>
      </c>
      <c r="N91" s="137"/>
      <c r="O91" s="137"/>
      <c r="P91" s="15"/>
      <c r="Q91" s="137"/>
    </row>
    <row r="92" spans="1:74" ht="0" hidden="1" customHeight="1" x14ac:dyDescent="0.2">
      <c r="C92" s="164"/>
      <c r="D92" s="138"/>
      <c r="E92" s="137"/>
      <c r="F92" s="138"/>
      <c r="G92" s="137"/>
      <c r="H92" s="137"/>
      <c r="I92" s="137"/>
      <c r="J92" s="137"/>
      <c r="K92" s="137"/>
      <c r="L92" s="137"/>
      <c r="M92" s="149"/>
      <c r="N92" s="137"/>
      <c r="O92" s="137"/>
      <c r="P92" s="150"/>
      <c r="Q92" s="137"/>
    </row>
    <row r="93" spans="1:74" ht="0" hidden="1" customHeight="1" x14ac:dyDescent="0.2">
      <c r="C93" s="164"/>
      <c r="D93" s="137"/>
      <c r="E93" s="137"/>
      <c r="F93" s="137"/>
      <c r="G93" s="137"/>
      <c r="H93" s="137"/>
      <c r="I93" s="148"/>
      <c r="J93" s="137"/>
      <c r="K93" s="137"/>
      <c r="L93" s="137"/>
      <c r="M93" s="149"/>
      <c r="N93" s="137"/>
      <c r="O93" s="137"/>
      <c r="P93" s="150"/>
      <c r="Q93" s="137"/>
    </row>
    <row r="94" spans="1:74" ht="0" hidden="1" customHeight="1" x14ac:dyDescent="0.2">
      <c r="P94" s="11"/>
    </row>
  </sheetData>
  <sheetProtection sheet="1" formatCells="0" formatColumns="0" formatRows="0" insertRows="0" deleteRows="0"/>
  <protectedRanges>
    <protectedRange sqref="E34 E36 E38 E40 K36 E11 E61 E65 I65 M61 E7 G7 I7 K7 I61" name="Your details"/>
    <protectedRange sqref="E47 G47 I47 K47 M47" name="UKRI projects"/>
    <protectedRange sqref="K34" name="Your details_1"/>
  </protectedRanges>
  <mergeCells count="28">
    <mergeCell ref="E81:H81"/>
    <mergeCell ref="C89:C93"/>
    <mergeCell ref="K85:N85"/>
    <mergeCell ref="E85:H85"/>
    <mergeCell ref="D74:L74"/>
    <mergeCell ref="M74:Q74"/>
    <mergeCell ref="D75:L75"/>
    <mergeCell ref="M75:Q75"/>
    <mergeCell ref="K81:N81"/>
    <mergeCell ref="E83:H83"/>
    <mergeCell ref="D77:Q77"/>
    <mergeCell ref="C31:Q31"/>
    <mergeCell ref="H36:I36"/>
    <mergeCell ref="T3:T11"/>
    <mergeCell ref="C1:Q1"/>
    <mergeCell ref="T13:T22"/>
    <mergeCell ref="H34:I34"/>
    <mergeCell ref="T45:T55"/>
    <mergeCell ref="C43:H43"/>
    <mergeCell ref="C72:H72"/>
    <mergeCell ref="C69:Q69"/>
    <mergeCell ref="C68:Q68"/>
    <mergeCell ref="C67:H67"/>
    <mergeCell ref="I72:N72"/>
    <mergeCell ref="O72:Q72"/>
    <mergeCell ref="C59:H59"/>
    <mergeCell ref="C70:Q70"/>
    <mergeCell ref="T65:T66"/>
  </mergeCells>
  <conditionalFormatting sqref="C47">
    <cfRule type="expression" dxfId="107" priority="60" stopIfTrue="1">
      <formula>$D$13&gt;3</formula>
    </cfRule>
    <cfRule type="expression" priority="49" stopIfTrue="1">
      <formula>ISNUMBER(SEARCH($E$15,$E$7))</formula>
    </cfRule>
    <cfRule type="expression" dxfId="106" priority="61">
      <formula>$D$13&lt;2</formula>
    </cfRule>
  </conditionalFormatting>
  <conditionalFormatting sqref="C49">
    <cfRule type="expression" dxfId="105" priority="117" stopIfTrue="1">
      <formula>$D$13&lt;&gt;1</formula>
    </cfRule>
  </conditionalFormatting>
  <conditionalFormatting sqref="C51">
    <cfRule type="expression" dxfId="104" priority="116" stopIfTrue="1">
      <formula>$D$13&lt;&gt;4</formula>
    </cfRule>
  </conditionalFormatting>
  <conditionalFormatting sqref="C53">
    <cfRule type="expression" dxfId="103" priority="115" stopIfTrue="1">
      <formula>$D$13&lt;&gt;5</formula>
    </cfRule>
  </conditionalFormatting>
  <conditionalFormatting sqref="C55">
    <cfRule type="expression" dxfId="102" priority="103" stopIfTrue="1">
      <formula>$D$13&lt;&gt;1</formula>
    </cfRule>
  </conditionalFormatting>
  <conditionalFormatting sqref="C61:Q63">
    <cfRule type="expression" dxfId="101" priority="9" stopIfTrue="1">
      <formula>$F$13=3</formula>
    </cfRule>
  </conditionalFormatting>
  <conditionalFormatting sqref="C63:Q65 T65">
    <cfRule type="expression" dxfId="100" priority="109" stopIfTrue="1">
      <formula>$J$13=1</formula>
    </cfRule>
  </conditionalFormatting>
  <conditionalFormatting sqref="C68:Q68">
    <cfRule type="expression" dxfId="99" priority="105" stopIfTrue="1">
      <formula>$G$7=$G$16</formula>
    </cfRule>
    <cfRule type="expression" dxfId="98" priority="16" stopIfTrue="1">
      <formula>$G$7=$G$15</formula>
    </cfRule>
    <cfRule type="expression" dxfId="97" priority="6" stopIfTrue="1">
      <formula>$E$7=$E$16</formula>
    </cfRule>
  </conditionalFormatting>
  <conditionalFormatting sqref="C69:Q69">
    <cfRule type="expression" dxfId="96" priority="15" stopIfTrue="1">
      <formula>$F$13&lt;&gt;2</formula>
    </cfRule>
  </conditionalFormatting>
  <conditionalFormatting sqref="C69:Q70">
    <cfRule type="expression" priority="104" stopIfTrue="1">
      <formula>$E$7=$E$16</formula>
    </cfRule>
  </conditionalFormatting>
  <conditionalFormatting sqref="C70:Q70">
    <cfRule type="expression" dxfId="95" priority="4" stopIfTrue="1">
      <formula>$F$13&lt;&gt;3</formula>
    </cfRule>
  </conditionalFormatting>
  <conditionalFormatting sqref="C72:Q72 K61:M61">
    <cfRule type="expression" dxfId="94" priority="100" stopIfTrue="1">
      <formula>$D$13&lt;&gt;1</formula>
    </cfRule>
  </conditionalFormatting>
  <conditionalFormatting sqref="C72:Q72">
    <cfRule type="expression" priority="18" stopIfTrue="1">
      <formula>$E$7=$E$16</formula>
    </cfRule>
  </conditionalFormatting>
  <conditionalFormatting sqref="C74:Q75">
    <cfRule type="expression" dxfId="93" priority="98" stopIfTrue="1">
      <formula>$D$13&lt;&gt;1</formula>
    </cfRule>
    <cfRule type="expression" priority="97" stopIfTrue="1">
      <formula>$F$13=3</formula>
    </cfRule>
  </conditionalFormatting>
  <conditionalFormatting sqref="C75:Q75">
    <cfRule type="containsBlanks" dxfId="92" priority="1">
      <formula>LEN(TRIM(C75))=0</formula>
    </cfRule>
  </conditionalFormatting>
  <conditionalFormatting sqref="C79:Q79">
    <cfRule type="expression" dxfId="91" priority="1760">
      <formula>$L$13=1</formula>
    </cfRule>
  </conditionalFormatting>
  <conditionalFormatting sqref="D47:Q47">
    <cfRule type="expression" dxfId="90" priority="30" stopIfTrue="1">
      <formula>ISNUMBER(SEARCH($E$19,$E$7))</formula>
    </cfRule>
    <cfRule type="expression" dxfId="89" priority="31" stopIfTrue="1">
      <formula>ISNUMBER(SEARCH($E$14,$E$7))</formula>
    </cfRule>
    <cfRule type="expression" dxfId="88" priority="36" stopIfTrue="1">
      <formula>ISNUMBER(SEARCH($E$18,$E$7))</formula>
    </cfRule>
    <cfRule type="expression" priority="63" stopIfTrue="1">
      <formula>ISNUMBER(SEARCH($E$15,$E$7))</formula>
    </cfRule>
  </conditionalFormatting>
  <conditionalFormatting sqref="D49:Q49">
    <cfRule type="expression" dxfId="87" priority="121" stopIfTrue="1">
      <formula>$D$13&lt;&gt;1</formula>
    </cfRule>
  </conditionalFormatting>
  <conditionalFormatting sqref="D51:Q51">
    <cfRule type="expression" dxfId="86" priority="120" stopIfTrue="1">
      <formula>$D$13&lt;&gt;4</formula>
    </cfRule>
  </conditionalFormatting>
  <conditionalFormatting sqref="D53:Q53">
    <cfRule type="expression" dxfId="85" priority="119" stopIfTrue="1">
      <formula>$D$13&lt;&gt;5</formula>
    </cfRule>
  </conditionalFormatting>
  <conditionalFormatting sqref="D55:Q55">
    <cfRule type="expression" dxfId="84" priority="102" stopIfTrue="1">
      <formula>$D$13&lt;&gt;1</formula>
    </cfRule>
  </conditionalFormatting>
  <conditionalFormatting sqref="D77:Q77">
    <cfRule type="containsBlanks" dxfId="83" priority="14">
      <formula>LEN(TRIM(D77))=0</formula>
    </cfRule>
  </conditionalFormatting>
  <conditionalFormatting sqref="E7">
    <cfRule type="containsBlanks" dxfId="82" priority="88">
      <formula>LEN(TRIM(E7))=0</formula>
    </cfRule>
  </conditionalFormatting>
  <conditionalFormatting sqref="E11">
    <cfRule type="notContainsBlanks" dxfId="81" priority="1761">
      <formula>LEN(TRIM(E11))&gt;0</formula>
    </cfRule>
    <cfRule type="expression" dxfId="80" priority="417">
      <formula>$E$7=$E$20</formula>
    </cfRule>
  </conditionalFormatting>
  <conditionalFormatting sqref="E34 E36 E38 E40">
    <cfRule type="containsBlanks" dxfId="79" priority="415">
      <formula>LEN(TRIM(E34))=0</formula>
    </cfRule>
  </conditionalFormatting>
  <conditionalFormatting sqref="E47">
    <cfRule type="containsText" dxfId="78" priority="51" operator="containsText" text="- Select UKRI funder -">
      <formula>NOT(ISERROR(SEARCH("- Select UKRI funder -",E47)))</formula>
    </cfRule>
  </conditionalFormatting>
  <conditionalFormatting sqref="E49">
    <cfRule type="containsText" dxfId="77" priority="161" operator="containsText" text="Select EU funder">
      <formula>NOT(ISERROR(SEARCH("Select EU funder",E49)))</formula>
    </cfRule>
  </conditionalFormatting>
  <conditionalFormatting sqref="E51">
    <cfRule type="containsText" dxfId="76" priority="147" operator="containsText" text="Select or Enter US federal funder">
      <formula>NOT(ISERROR(SEARCH("Select or Enter US federal funder",E51)))</formula>
    </cfRule>
  </conditionalFormatting>
  <conditionalFormatting sqref="E53">
    <cfRule type="containsText" dxfId="75" priority="135" operator="containsText" text="Select or Enter other funder">
      <formula>NOT(ISERROR(SEARCH("Select or Enter other funder",E53)))</formula>
    </cfRule>
  </conditionalFormatting>
  <conditionalFormatting sqref="E61">
    <cfRule type="containsBlanks" dxfId="74" priority="112">
      <formula>LEN(TRIM(E61))=0</formula>
    </cfRule>
  </conditionalFormatting>
  <conditionalFormatting sqref="E65">
    <cfRule type="containsBlanks" dxfId="73" priority="1759">
      <formula>LEN(TRIM(E65))=0</formula>
    </cfRule>
  </conditionalFormatting>
  <conditionalFormatting sqref="G7">
    <cfRule type="expression" dxfId="72" priority="3">
      <formula>AND($E$7&lt;&gt;"EU",$E$7&lt;&gt;"UKRI",$E$7&lt;&gt;"Innovate UK",$G$7="HE")</formula>
    </cfRule>
    <cfRule type="containsBlanks" dxfId="71" priority="87">
      <formula>LEN(TRIM(G7))=0</formula>
    </cfRule>
  </conditionalFormatting>
  <conditionalFormatting sqref="G47">
    <cfRule type="notContainsBlanks" dxfId="70" priority="52">
      <formula>LEN(TRIM(G47))&gt;0</formula>
    </cfRule>
    <cfRule type="expression" dxfId="69" priority="53">
      <formula>E47="- Select UKRI funder -"</formula>
    </cfRule>
    <cfRule type="expression" dxfId="68" priority="38">
      <formula>E47&lt;&gt;"- Select UKRI funder -"</formula>
    </cfRule>
  </conditionalFormatting>
  <conditionalFormatting sqref="G49">
    <cfRule type="notContainsBlanks" dxfId="67" priority="158">
      <formula>LEN(TRIM(G49))&gt;0</formula>
    </cfRule>
    <cfRule type="expression" dxfId="66" priority="160">
      <formula>E49&lt;&gt;"- Select EU funder -"</formula>
    </cfRule>
    <cfRule type="expression" dxfId="65" priority="159">
      <formula>E49="- Select EU funder -"</formula>
    </cfRule>
  </conditionalFormatting>
  <conditionalFormatting sqref="G51">
    <cfRule type="notContainsBlanks" dxfId="64" priority="144">
      <formula>LEN(TRIM(G51))&gt;0</formula>
    </cfRule>
    <cfRule type="expression" dxfId="63" priority="145">
      <formula>E51="Select or Enter US federal funder"</formula>
    </cfRule>
    <cfRule type="expression" dxfId="62" priority="146">
      <formula>E51&lt;&gt;"Select or Enter US federal funder"</formula>
    </cfRule>
  </conditionalFormatting>
  <conditionalFormatting sqref="G53">
    <cfRule type="expression" dxfId="61" priority="134">
      <formula>$E53&lt;&gt;"Select or Enter other funder"</formula>
    </cfRule>
    <cfRule type="expression" dxfId="60" priority="133">
      <formula>$E53="Select or Enter other funder"</formula>
    </cfRule>
    <cfRule type="notContainsBlanks" dxfId="59" priority="132">
      <formula>LEN(TRIM(G53))&gt;0</formula>
    </cfRule>
  </conditionalFormatting>
  <conditionalFormatting sqref="H38:J38 L38:P38 H39:P41 C77:Q77">
    <cfRule type="expression" dxfId="58" priority="13" stopIfTrue="1">
      <formula>$E$7&lt;&gt;$E$16</formula>
    </cfRule>
  </conditionalFormatting>
  <conditionalFormatting sqref="H34:K34">
    <cfRule type="expression" dxfId="57" priority="43" stopIfTrue="1">
      <formula>$E$7&lt;&gt;$E$16</formula>
    </cfRule>
  </conditionalFormatting>
  <conditionalFormatting sqref="H36:K36">
    <cfRule type="expression" dxfId="56" priority="23">
      <formula>$E$7&lt;&gt;$E$16</formula>
    </cfRule>
    <cfRule type="expression" priority="11" stopIfTrue="1">
      <formula>$G$7=$G$15</formula>
    </cfRule>
    <cfRule type="expression" priority="28">
      <formula>$G$7=$G$14</formula>
    </cfRule>
  </conditionalFormatting>
  <conditionalFormatting sqref="I7">
    <cfRule type="containsBlanks" dxfId="55" priority="86">
      <formula>LEN(TRIM(I7))=0</formula>
    </cfRule>
    <cfRule type="expression" dxfId="54" priority="2">
      <formula>AND($G$7="HE",$I$7="Whole reporting period")</formula>
    </cfRule>
  </conditionalFormatting>
  <conditionalFormatting sqref="I47">
    <cfRule type="expression" dxfId="53" priority="47">
      <formula>E47&lt;&gt;"- Select UKRI funder -"</formula>
    </cfRule>
    <cfRule type="expression" dxfId="52" priority="55">
      <formula>E47="- Select UKRI funder -"</formula>
    </cfRule>
    <cfRule type="notContainsBlanks" dxfId="51" priority="54">
      <formula>LEN(TRIM(I47))&gt;0</formula>
    </cfRule>
  </conditionalFormatting>
  <conditionalFormatting sqref="I49">
    <cfRule type="expression" dxfId="50" priority="157">
      <formula>E49&lt;&gt;"- Select EU funder -"</formula>
    </cfRule>
    <cfRule type="expression" dxfId="49" priority="156">
      <formula>E49="- Select EU funder -"</formula>
    </cfRule>
    <cfRule type="notContainsBlanks" dxfId="48" priority="155">
      <formula>LEN(TRIM(I49))&gt;0</formula>
    </cfRule>
  </conditionalFormatting>
  <conditionalFormatting sqref="I51">
    <cfRule type="expression" dxfId="47" priority="143">
      <formula>E51&lt;&gt;"Select or Enter US federal funder"</formula>
    </cfRule>
    <cfRule type="expression" dxfId="46" priority="142">
      <formula>E51="Select or Enter US federal funder"</formula>
    </cfRule>
    <cfRule type="notContainsBlanks" dxfId="45" priority="141">
      <formula>LEN(TRIM(I51))&gt;0</formula>
    </cfRule>
  </conditionalFormatting>
  <conditionalFormatting sqref="I53">
    <cfRule type="expression" dxfId="44" priority="131">
      <formula>$E53&lt;&gt;"Select or Enter other funder"</formula>
    </cfRule>
    <cfRule type="notContainsBlanks" dxfId="43" priority="129">
      <formula>LEN(TRIM(I53))&gt;0</formula>
    </cfRule>
    <cfRule type="expression" dxfId="42" priority="130">
      <formula>$E53="Select or Enter other funder"</formula>
    </cfRule>
  </conditionalFormatting>
  <conditionalFormatting sqref="I61">
    <cfRule type="containsBlanks" dxfId="41" priority="44">
      <formula>LEN(TRIM(I61))=0</formula>
    </cfRule>
  </conditionalFormatting>
  <conditionalFormatting sqref="I65">
    <cfRule type="containsBlanks" dxfId="40" priority="110">
      <formula>LEN(TRIM(I65))=0</formula>
    </cfRule>
  </conditionalFormatting>
  <conditionalFormatting sqref="K7">
    <cfRule type="containsBlanks" dxfId="39" priority="85">
      <formula>LEN(TRIM(K7))=0</formula>
    </cfRule>
  </conditionalFormatting>
  <conditionalFormatting sqref="K34">
    <cfRule type="notContainsBlanks" dxfId="38" priority="42">
      <formula>LEN(TRIM(K34))&gt;0</formula>
    </cfRule>
  </conditionalFormatting>
  <conditionalFormatting sqref="K36">
    <cfRule type="notContainsBlanks" dxfId="37" priority="10">
      <formula>LEN(TRIM(K36))&gt;0</formula>
    </cfRule>
  </conditionalFormatting>
  <conditionalFormatting sqref="K47">
    <cfRule type="notContainsBlanks" dxfId="36" priority="56">
      <formula>LEN(TRIM(K47))&gt;0</formula>
    </cfRule>
    <cfRule type="expression" dxfId="35" priority="57">
      <formula>E47="- Select UKRI funder -"</formula>
    </cfRule>
    <cfRule type="expression" dxfId="34" priority="48">
      <formula>E47&lt;&gt;"- Select UKRI funder -"</formula>
    </cfRule>
  </conditionalFormatting>
  <conditionalFormatting sqref="K49">
    <cfRule type="expression" dxfId="33" priority="154">
      <formula>E49&lt;&gt;"- Select UKRI funder -"</formula>
    </cfRule>
    <cfRule type="expression" dxfId="32" priority="153">
      <formula>E49="- Select EU funder -"</formula>
    </cfRule>
    <cfRule type="notContainsBlanks" dxfId="31" priority="152">
      <formula>LEN(TRIM(K49))&gt;0</formula>
    </cfRule>
  </conditionalFormatting>
  <conditionalFormatting sqref="K51">
    <cfRule type="notContainsBlanks" dxfId="30" priority="138">
      <formula>LEN(TRIM(K51))&gt;0</formula>
    </cfRule>
    <cfRule type="expression" dxfId="29" priority="139">
      <formula>$E51="Select or Enter US federal funder"</formula>
    </cfRule>
    <cfRule type="expression" dxfId="28" priority="140">
      <formula>$E51&lt;&gt;"Select or Enter US federal funder"</formula>
    </cfRule>
  </conditionalFormatting>
  <conditionalFormatting sqref="K53">
    <cfRule type="expression" dxfId="27" priority="128">
      <formula>$E53&lt;&gt;"Select or Enter other funder"</formula>
    </cfRule>
    <cfRule type="expression" dxfId="26" priority="127">
      <formula>$E53="Select or Enter other funder"</formula>
    </cfRule>
    <cfRule type="notContainsBlanks" dxfId="25" priority="126">
      <formula>LEN(TRIM(K53))&gt;0</formula>
    </cfRule>
  </conditionalFormatting>
  <conditionalFormatting sqref="M47">
    <cfRule type="expression" dxfId="24" priority="50">
      <formula>E47&lt;&gt;"- Select UKRI funder -"</formula>
    </cfRule>
    <cfRule type="notContainsBlanks" dxfId="23" priority="58">
      <formula>LEN(TRIM(M47))&gt;0</formula>
    </cfRule>
    <cfRule type="expression" dxfId="22" priority="59">
      <formula>E47="- Select UKRI funder -"</formula>
    </cfRule>
  </conditionalFormatting>
  <conditionalFormatting sqref="M49">
    <cfRule type="notContainsBlanks" dxfId="21" priority="149">
      <formula>LEN(TRIM(M49))&gt;0</formula>
    </cfRule>
    <cfRule type="expression" dxfId="20" priority="150">
      <formula>E49="- Select EU funder -"</formula>
    </cfRule>
    <cfRule type="expression" dxfId="19" priority="151">
      <formula>E49&lt;&gt;"- Select EU funder -"</formula>
    </cfRule>
  </conditionalFormatting>
  <conditionalFormatting sqref="M51">
    <cfRule type="expression" dxfId="18" priority="137">
      <formula>$E51="Select or Enter US federal funder"</formula>
    </cfRule>
    <cfRule type="notContainsBlanks" dxfId="17" priority="136">
      <formula>LEN(TRIM(M51))&gt;0</formula>
    </cfRule>
    <cfRule type="expression" dxfId="16" priority="148">
      <formula>$E51&lt;&gt;"Select or Enter US federal funder"</formula>
    </cfRule>
  </conditionalFormatting>
  <conditionalFormatting sqref="M53">
    <cfRule type="expression" dxfId="15" priority="124">
      <formula>$E53="Select or Enter other funder"</formula>
    </cfRule>
    <cfRule type="notContainsBlanks" dxfId="14" priority="123">
      <formula>LEN(TRIM(M53))&gt;0</formula>
    </cfRule>
    <cfRule type="expression" dxfId="13" priority="125">
      <formula>$E53&lt;&gt;"Select or Enter other funder"</formula>
    </cfRule>
  </conditionalFormatting>
  <conditionalFormatting sqref="M61">
    <cfRule type="containsBlanks" dxfId="12" priority="101">
      <formula>LEN(TRIM(M61))=0</formula>
    </cfRule>
  </conditionalFormatting>
  <conditionalFormatting sqref="M89 M91">
    <cfRule type="containsText" dxfId="11" priority="410" operator="containsText" text="- Select work type -">
      <formula>NOT(ISERROR(SEARCH("- Select work type -",M89)))</formula>
    </cfRule>
  </conditionalFormatting>
  <conditionalFormatting sqref="P89">
    <cfRule type="notContainsBlanks" dxfId="10" priority="269" stopIfTrue="1">
      <formula>LEN(TRIM(P89))&gt;0</formula>
    </cfRule>
    <cfRule type="expression" dxfId="9" priority="270" stopIfTrue="1">
      <formula>M89="- Select work type -"</formula>
    </cfRule>
    <cfRule type="expression" dxfId="8" priority="271">
      <formula>M89&lt;&gt;"- Select work type -"</formula>
    </cfRule>
  </conditionalFormatting>
  <conditionalFormatting sqref="P91">
    <cfRule type="notContainsBlanks" dxfId="7" priority="165" stopIfTrue="1">
      <formula>LEN(TRIM(P91))&gt;0</formula>
    </cfRule>
    <cfRule type="expression" dxfId="6" priority="166" stopIfTrue="1">
      <formula>M91="- Select work type -"</formula>
    </cfRule>
    <cfRule type="expression" dxfId="5" priority="167">
      <formula>M91&lt;&gt;"- Select work type -"</formula>
    </cfRule>
  </conditionalFormatting>
  <conditionalFormatting sqref="T34">
    <cfRule type="expression" dxfId="4" priority="27">
      <formula>$E$7&lt;&gt;$E$16</formula>
    </cfRule>
  </conditionalFormatting>
  <conditionalFormatting sqref="T35:T37">
    <cfRule type="expression" priority="25" stopIfTrue="1">
      <formula>$G$7=$G$15</formula>
    </cfRule>
    <cfRule type="expression" dxfId="3" priority="26">
      <formula>$G$7=$G$14</formula>
    </cfRule>
    <cfRule type="expression" priority="22" stopIfTrue="1">
      <formula>$E$7=$E$16</formula>
    </cfRule>
  </conditionalFormatting>
  <conditionalFormatting sqref="T72:T74">
    <cfRule type="expression" dxfId="2" priority="20">
      <formula>$E$7&lt;&gt;$E$14</formula>
    </cfRule>
  </conditionalFormatting>
  <conditionalFormatting sqref="T74">
    <cfRule type="expression" dxfId="1" priority="7">
      <formula>$F$13=3</formula>
    </cfRule>
  </conditionalFormatting>
  <conditionalFormatting sqref="T75">
    <cfRule type="expression" dxfId="0" priority="8">
      <formula>$F$13&lt;&gt;3</formula>
    </cfRule>
  </conditionalFormatting>
  <dataValidations count="12">
    <dataValidation type="list" allowBlank="1" showInputMessage="1" sqref="E49" xr:uid="{8447C97F-CD87-B446-BB21-A78AD7501338}">
      <formula1>EU_FUNDERS</formula1>
    </dataValidation>
    <dataValidation type="list" allowBlank="1" showInputMessage="1" sqref="E47" xr:uid="{A5D29EF0-7966-F849-AF80-A1AA782046CC}">
      <formula1>UKRI</formula1>
    </dataValidation>
    <dataValidation type="list" allowBlank="1" showInputMessage="1" sqref="E53" xr:uid="{E9C2E864-BFB0-B14D-8B26-91D5877E4303}">
      <formula1>OTHER_FUNDERS</formula1>
    </dataValidation>
    <dataValidation type="list" allowBlank="1" showInputMessage="1" sqref="E51" xr:uid="{9628B25F-3011-A04C-93F4-B15FD9DE2CD9}">
      <formula1>USFED</formula1>
    </dataValidation>
    <dataValidation type="list" allowBlank="1" showInputMessage="1" showErrorMessage="1" sqref="E42" xr:uid="{77EA7F93-01FD-754D-974E-18081315AC53}">
      <formula1>Year</formula1>
    </dataValidation>
    <dataValidation type="list" allowBlank="1" showInputMessage="1" showErrorMessage="1" sqref="M89:N89 M91:N91" xr:uid="{16AB3B39-24DE-C044-8F06-36446C72CBE2}">
      <formula1>NON_PROJECT_WORK</formula1>
    </dataValidation>
    <dataValidation type="list" allowBlank="1" showInputMessage="1" sqref="E38" xr:uid="{08552A51-6531-9D4A-940E-72D84DAA9CCF}">
      <formula1>ROLE</formula1>
    </dataValidation>
    <dataValidation type="list" allowBlank="1" showInputMessage="1" showErrorMessage="1" sqref="E7" xr:uid="{AADC043B-06D6-B446-8B57-328267246F4D}">
      <formula1>$E$14:$E$20</formula1>
    </dataValidation>
    <dataValidation type="list" allowBlank="1" showInputMessage="1" showErrorMessage="1" sqref="G7" xr:uid="{F76673E0-E8A4-B048-97D1-F85D4606944C}">
      <formula1>$G$14:$G$18</formula1>
    </dataValidation>
    <dataValidation type="list" allowBlank="1" showInputMessage="1" showErrorMessage="1" sqref="I7" xr:uid="{821ABE50-7B9A-5D4F-9092-F879C933AC14}">
      <formula1>$K$14:$K$15</formula1>
    </dataValidation>
    <dataValidation type="list" allowBlank="1" showInputMessage="1" showErrorMessage="1" sqref="K7" xr:uid="{D02CCF01-0F50-B347-AF03-DA5E79AD2BC7}">
      <formula1>$M$14:$M$17</formula1>
    </dataValidation>
    <dataValidation type="date" allowBlank="1" showInputMessage="1" showErrorMessage="1" promptTitle="Enter date" prompt="Form dd/MM/YYYY" sqref="E61 I61 E65 I65 K81:N81 K85:N85" xr:uid="{3D505B2D-C28C-894A-BCCA-CAE8B686A351}">
      <formula1>36526</formula1>
      <formula2>54789</formula2>
    </dataValidation>
  </dataValidations>
  <hyperlinks>
    <hyperlink ref="T81" r:id="rId1" xr:uid="{EB810C01-4A6E-E24F-B3A6-9DB80FF76246}"/>
  </hyperlinks>
  <printOptions horizontalCentered="1"/>
  <pageMargins left="0.25" right="0.25" top="0.5" bottom="0.25" header="0.3" footer="0.3"/>
  <pageSetup paperSize="9" scale="40" orientation="portrait" horizontalDpi="0" verticalDpi="0"/>
  <ignoredErrors>
    <ignoredError sqref="E53" unlockedFormula="1"/>
  </ignoredErrors>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A429E31D-49FE-DC4A-B2AB-47F9FC4AFF4D}">
          <x14:formula1>
            <xm:f>List!$P$2:$P$6</xm:f>
          </x14:formula1>
          <xm:sqref>K34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2"/>
  <dimension ref="B1:T69"/>
  <sheetViews>
    <sheetView topLeftCell="O1" workbookViewId="0">
      <selection activeCell="Q3" sqref="Q3"/>
    </sheetView>
  </sheetViews>
  <sheetFormatPr baseColWidth="10" defaultColWidth="8.83203125" defaultRowHeight="14" x14ac:dyDescent="0.15"/>
  <cols>
    <col min="2" max="2" width="11" customWidth="1"/>
    <col min="4" max="5" width="15.1640625" customWidth="1"/>
    <col min="6" max="6" width="19.5" customWidth="1"/>
    <col min="7" max="7" width="16" customWidth="1"/>
    <col min="8" max="8" width="21.5" customWidth="1"/>
    <col min="9" max="9" width="22.1640625" customWidth="1"/>
    <col min="10" max="11" width="19" customWidth="1"/>
    <col min="12" max="13" width="16.6640625" customWidth="1"/>
    <col min="14" max="14" width="13.6640625" customWidth="1"/>
    <col min="15" max="16" width="58" customWidth="1"/>
    <col min="17" max="17" width="18.33203125" customWidth="1"/>
    <col min="18" max="18" width="14" customWidth="1"/>
    <col min="19" max="19" width="25" customWidth="1"/>
    <col min="20" max="20" width="13.83203125" customWidth="1"/>
  </cols>
  <sheetData>
    <row r="1" spans="2:20" ht="30" x14ac:dyDescent="0.15">
      <c r="B1" t="s">
        <v>89</v>
      </c>
      <c r="C1" t="s">
        <v>90</v>
      </c>
      <c r="D1" t="s">
        <v>91</v>
      </c>
      <c r="E1" s="5" t="s">
        <v>92</v>
      </c>
      <c r="F1" t="s">
        <v>93</v>
      </c>
      <c r="G1" t="s">
        <v>94</v>
      </c>
      <c r="H1" t="s">
        <v>95</v>
      </c>
      <c r="I1" s="5" t="s">
        <v>96</v>
      </c>
      <c r="J1" t="s">
        <v>97</v>
      </c>
      <c r="K1" t="s">
        <v>98</v>
      </c>
      <c r="L1" s="5" t="s">
        <v>99</v>
      </c>
      <c r="M1" s="5" t="s">
        <v>100</v>
      </c>
      <c r="N1" s="5" t="s">
        <v>101</v>
      </c>
      <c r="O1" s="5" t="s">
        <v>102</v>
      </c>
      <c r="P1" s="5" t="s">
        <v>103</v>
      </c>
      <c r="Q1" s="5" t="s">
        <v>104</v>
      </c>
      <c r="R1" s="5" t="s">
        <v>18</v>
      </c>
      <c r="S1" s="5" t="s">
        <v>19</v>
      </c>
      <c r="T1" s="21" t="s">
        <v>20</v>
      </c>
    </row>
    <row r="2" spans="2:20" ht="16" x14ac:dyDescent="0.15">
      <c r="B2" s="2" t="s">
        <v>105</v>
      </c>
      <c r="C2" s="2" t="s">
        <v>106</v>
      </c>
      <c r="E2" s="2" t="s">
        <v>107</v>
      </c>
      <c r="F2" s="2" t="s">
        <v>108</v>
      </c>
      <c r="G2" s="2" t="s">
        <v>109</v>
      </c>
      <c r="H2" s="2" t="s">
        <v>88</v>
      </c>
      <c r="I2" s="2" t="s">
        <v>110</v>
      </c>
      <c r="J2" s="2" t="s">
        <v>111</v>
      </c>
      <c r="K2" s="2" t="s">
        <v>112</v>
      </c>
      <c r="L2" s="2" t="s">
        <v>56</v>
      </c>
      <c r="M2" s="2" t="s">
        <v>113</v>
      </c>
      <c r="N2" s="2" t="s">
        <v>58</v>
      </c>
      <c r="O2" s="2" t="s">
        <v>114</v>
      </c>
      <c r="P2" s="2" t="s">
        <v>115</v>
      </c>
      <c r="Q2" s="109" t="s">
        <v>11</v>
      </c>
      <c r="R2" s="109" t="s">
        <v>22</v>
      </c>
      <c r="S2" s="109" t="s">
        <v>24</v>
      </c>
      <c r="T2" s="109" t="s">
        <v>116</v>
      </c>
    </row>
    <row r="3" spans="2:20" ht="16" x14ac:dyDescent="0.15">
      <c r="B3" s="3" t="s">
        <v>117</v>
      </c>
      <c r="C3" s="3">
        <v>2021</v>
      </c>
      <c r="D3" s="3" t="s">
        <v>118</v>
      </c>
      <c r="E3" s="3">
        <v>35</v>
      </c>
      <c r="F3" s="3" t="s">
        <v>119</v>
      </c>
      <c r="G3" s="3" t="s">
        <v>120</v>
      </c>
      <c r="H3" s="3" t="s">
        <v>121</v>
      </c>
      <c r="I3" s="3" t="s">
        <v>122</v>
      </c>
      <c r="J3" s="3" t="s">
        <v>123</v>
      </c>
      <c r="K3" s="3">
        <v>1</v>
      </c>
      <c r="L3" s="2" t="s">
        <v>124</v>
      </c>
      <c r="M3" s="2" t="s">
        <v>125</v>
      </c>
      <c r="N3" s="3" t="s">
        <v>126</v>
      </c>
      <c r="O3" s="3" t="s">
        <v>127</v>
      </c>
      <c r="P3" s="3" t="s">
        <v>128</v>
      </c>
      <c r="Q3" s="109" t="s">
        <v>129</v>
      </c>
      <c r="R3" s="109" t="s">
        <v>27</v>
      </c>
      <c r="S3" s="109" t="s">
        <v>13</v>
      </c>
      <c r="T3" s="109" t="s">
        <v>14</v>
      </c>
    </row>
    <row r="4" spans="2:20" ht="16" x14ac:dyDescent="0.15">
      <c r="B4" s="3" t="s">
        <v>118</v>
      </c>
      <c r="C4" s="3">
        <v>2022</v>
      </c>
      <c r="D4" s="3" t="s">
        <v>130</v>
      </c>
      <c r="E4" s="3">
        <v>36</v>
      </c>
      <c r="F4" s="3" t="s">
        <v>131</v>
      </c>
      <c r="G4" s="3" t="s">
        <v>132</v>
      </c>
      <c r="H4" s="3" t="s">
        <v>133</v>
      </c>
      <c r="I4" s="3" t="s">
        <v>134</v>
      </c>
      <c r="J4" s="3" t="s">
        <v>135</v>
      </c>
      <c r="K4" s="3">
        <v>2</v>
      </c>
      <c r="L4" s="3" t="s">
        <v>136</v>
      </c>
      <c r="M4" s="18" t="s">
        <v>57</v>
      </c>
      <c r="N4" s="3" t="s">
        <v>137</v>
      </c>
      <c r="O4" s="3" t="s">
        <v>138</v>
      </c>
      <c r="P4" s="3" t="s">
        <v>139</v>
      </c>
      <c r="Q4" s="109" t="s">
        <v>26</v>
      </c>
      <c r="S4" s="109" t="s">
        <v>140</v>
      </c>
    </row>
    <row r="5" spans="2:20" ht="16" x14ac:dyDescent="0.15">
      <c r="B5" s="3" t="s">
        <v>130</v>
      </c>
      <c r="C5" s="3">
        <v>2023</v>
      </c>
      <c r="D5" s="3" t="s">
        <v>141</v>
      </c>
      <c r="E5" s="3">
        <v>36.5</v>
      </c>
      <c r="F5" s="3" t="s">
        <v>142</v>
      </c>
      <c r="G5" s="3" t="s">
        <v>33</v>
      </c>
      <c r="H5" s="3" t="s">
        <v>143</v>
      </c>
      <c r="I5" s="3" t="s">
        <v>144</v>
      </c>
      <c r="J5" s="3" t="s">
        <v>145</v>
      </c>
      <c r="K5" s="3">
        <v>3</v>
      </c>
      <c r="L5" s="3" t="s">
        <v>146</v>
      </c>
      <c r="M5" s="18" t="s">
        <v>147</v>
      </c>
      <c r="N5" s="3" t="s">
        <v>148</v>
      </c>
      <c r="O5" s="3" t="s">
        <v>149</v>
      </c>
      <c r="P5" s="3" t="s">
        <v>150</v>
      </c>
      <c r="Q5" s="109" t="s">
        <v>151</v>
      </c>
    </row>
    <row r="6" spans="2:20" ht="16" x14ac:dyDescent="0.15">
      <c r="B6" s="3" t="s">
        <v>141</v>
      </c>
      <c r="C6" s="3">
        <v>2024</v>
      </c>
      <c r="D6" s="3" t="s">
        <v>152</v>
      </c>
      <c r="E6" s="3">
        <v>37</v>
      </c>
      <c r="F6" s="3" t="s">
        <v>153</v>
      </c>
      <c r="G6" s="3" t="s">
        <v>154</v>
      </c>
      <c r="H6" s="3" t="s">
        <v>155</v>
      </c>
      <c r="I6" s="3" t="s">
        <v>156</v>
      </c>
      <c r="J6" s="3" t="s">
        <v>157</v>
      </c>
      <c r="K6" s="3">
        <v>4</v>
      </c>
      <c r="L6" s="3" t="s">
        <v>158</v>
      </c>
      <c r="M6" s="18" t="s">
        <v>159</v>
      </c>
      <c r="N6" s="3"/>
      <c r="O6" s="3" t="s">
        <v>160</v>
      </c>
      <c r="P6" s="3" t="s">
        <v>161</v>
      </c>
      <c r="Q6" s="109" t="s">
        <v>31</v>
      </c>
    </row>
    <row r="7" spans="2:20" ht="16" x14ac:dyDescent="0.15">
      <c r="B7" s="3" t="s">
        <v>152</v>
      </c>
      <c r="C7" s="3">
        <v>2025</v>
      </c>
      <c r="D7" s="3" t="s">
        <v>162</v>
      </c>
      <c r="E7" s="3">
        <v>37.5</v>
      </c>
      <c r="F7" s="3" t="s">
        <v>163</v>
      </c>
      <c r="G7" s="3" t="s">
        <v>164</v>
      </c>
      <c r="H7" s="3" t="s">
        <v>165</v>
      </c>
      <c r="I7" s="3" t="s">
        <v>33</v>
      </c>
      <c r="J7" s="3" t="s">
        <v>166</v>
      </c>
      <c r="K7" s="3">
        <v>5</v>
      </c>
      <c r="L7" s="3" t="s">
        <v>31</v>
      </c>
      <c r="M7" s="3"/>
      <c r="N7" s="3"/>
      <c r="O7" s="3" t="s">
        <v>167</v>
      </c>
      <c r="P7" s="3"/>
      <c r="Q7" s="109" t="s">
        <v>32</v>
      </c>
    </row>
    <row r="8" spans="2:20" ht="16" x14ac:dyDescent="0.15">
      <c r="B8" s="3" t="s">
        <v>162</v>
      </c>
      <c r="C8" s="3">
        <v>2026</v>
      </c>
      <c r="D8" s="3" t="s">
        <v>168</v>
      </c>
      <c r="E8" s="3">
        <v>40</v>
      </c>
      <c r="F8" s="3" t="s">
        <v>169</v>
      </c>
      <c r="G8" s="3" t="s">
        <v>170</v>
      </c>
      <c r="H8" s="3" t="s">
        <v>33</v>
      </c>
      <c r="J8" s="3" t="s">
        <v>171</v>
      </c>
      <c r="K8" s="3"/>
      <c r="L8" s="3" t="s">
        <v>172</v>
      </c>
      <c r="M8" s="3"/>
      <c r="N8" s="3"/>
      <c r="O8" s="3" t="s">
        <v>173</v>
      </c>
      <c r="P8" s="3"/>
      <c r="Q8" s="109" t="s">
        <v>33</v>
      </c>
    </row>
    <row r="9" spans="2:20" x14ac:dyDescent="0.15">
      <c r="B9" s="3" t="s">
        <v>168</v>
      </c>
      <c r="C9" s="3">
        <v>2027</v>
      </c>
      <c r="D9" s="3" t="s">
        <v>174</v>
      </c>
      <c r="E9" s="3"/>
      <c r="F9" s="3" t="s">
        <v>175</v>
      </c>
      <c r="G9" s="3" t="s">
        <v>176</v>
      </c>
      <c r="J9" s="3" t="s">
        <v>177</v>
      </c>
      <c r="K9" s="3"/>
      <c r="L9" s="3" t="s">
        <v>178</v>
      </c>
      <c r="M9" s="3"/>
      <c r="N9" s="3"/>
      <c r="O9" s="3" t="s">
        <v>179</v>
      </c>
      <c r="P9" s="3"/>
    </row>
    <row r="10" spans="2:20" x14ac:dyDescent="0.15">
      <c r="B10" s="3" t="s">
        <v>174</v>
      </c>
      <c r="C10" s="3">
        <v>2028</v>
      </c>
      <c r="D10" s="3" t="s">
        <v>180</v>
      </c>
      <c r="E10" s="3"/>
      <c r="F10" s="3" t="s">
        <v>181</v>
      </c>
      <c r="J10" s="3" t="s">
        <v>182</v>
      </c>
      <c r="K10" s="3"/>
      <c r="L10" s="3" t="s">
        <v>183</v>
      </c>
      <c r="M10" s="3"/>
      <c r="N10" s="3"/>
      <c r="O10" s="3" t="s">
        <v>184</v>
      </c>
      <c r="P10" s="3"/>
    </row>
    <row r="11" spans="2:20" x14ac:dyDescent="0.15">
      <c r="B11" s="3" t="s">
        <v>180</v>
      </c>
      <c r="C11" s="3">
        <v>2029</v>
      </c>
      <c r="D11" s="3" t="s">
        <v>185</v>
      </c>
      <c r="E11" s="3"/>
      <c r="F11" s="3" t="s">
        <v>33</v>
      </c>
      <c r="I11" s="3"/>
      <c r="J11" s="3" t="s">
        <v>186</v>
      </c>
      <c r="K11" s="3"/>
      <c r="L11" s="3" t="s">
        <v>187</v>
      </c>
      <c r="M11" s="3"/>
      <c r="O11" s="3" t="s">
        <v>188</v>
      </c>
      <c r="P11" s="3"/>
    </row>
    <row r="12" spans="2:20" x14ac:dyDescent="0.15">
      <c r="B12" s="3" t="s">
        <v>185</v>
      </c>
      <c r="C12" s="3">
        <v>2030</v>
      </c>
      <c r="D12" s="3" t="s">
        <v>189</v>
      </c>
      <c r="E12" s="3"/>
      <c r="J12" s="3" t="s">
        <v>190</v>
      </c>
      <c r="K12" s="3"/>
      <c r="L12" s="3" t="s">
        <v>191</v>
      </c>
      <c r="O12" s="3" t="s">
        <v>192</v>
      </c>
      <c r="P12" s="3"/>
    </row>
    <row r="13" spans="2:20" x14ac:dyDescent="0.15">
      <c r="B13" s="3" t="s">
        <v>189</v>
      </c>
      <c r="C13" s="3">
        <v>2031</v>
      </c>
      <c r="D13" s="3" t="s">
        <v>193</v>
      </c>
      <c r="E13" s="3"/>
      <c r="J13" s="3" t="s">
        <v>194</v>
      </c>
      <c r="K13" s="3"/>
      <c r="L13" s="3" t="s">
        <v>195</v>
      </c>
      <c r="O13" s="3" t="s">
        <v>196</v>
      </c>
      <c r="P13" s="3"/>
    </row>
    <row r="14" spans="2:20" x14ac:dyDescent="0.15">
      <c r="B14" s="3" t="s">
        <v>193</v>
      </c>
      <c r="C14" s="3">
        <v>2032</v>
      </c>
      <c r="D14" s="3" t="s">
        <v>117</v>
      </c>
      <c r="E14" s="3"/>
      <c r="J14" s="3" t="s">
        <v>197</v>
      </c>
      <c r="K14" s="3"/>
      <c r="O14" s="3" t="s">
        <v>198</v>
      </c>
      <c r="P14" s="3"/>
    </row>
    <row r="15" spans="2:20" x14ac:dyDescent="0.15">
      <c r="E15" s="3"/>
      <c r="J15" s="3" t="s">
        <v>199</v>
      </c>
      <c r="K15" s="3"/>
      <c r="O15" s="3" t="s">
        <v>200</v>
      </c>
      <c r="P15" s="3"/>
    </row>
    <row r="16" spans="2:20" x14ac:dyDescent="0.15">
      <c r="E16" s="3"/>
      <c r="J16" s="3" t="s">
        <v>201</v>
      </c>
      <c r="K16" s="3"/>
      <c r="O16" s="3" t="s">
        <v>202</v>
      </c>
      <c r="P16" s="3"/>
    </row>
    <row r="17" spans="10:16" x14ac:dyDescent="0.15">
      <c r="J17" s="3" t="s">
        <v>203</v>
      </c>
      <c r="K17" s="3"/>
      <c r="O17" s="3" t="s">
        <v>204</v>
      </c>
      <c r="P17" s="3"/>
    </row>
    <row r="18" spans="10:16" x14ac:dyDescent="0.15">
      <c r="J18" s="3" t="s">
        <v>205</v>
      </c>
      <c r="K18" s="3"/>
      <c r="O18" s="3" t="s">
        <v>206</v>
      </c>
      <c r="P18" s="3"/>
    </row>
    <row r="19" spans="10:16" x14ac:dyDescent="0.15">
      <c r="J19" s="3" t="s">
        <v>207</v>
      </c>
      <c r="K19" s="3"/>
      <c r="O19" s="3" t="s">
        <v>208</v>
      </c>
      <c r="P19" s="3"/>
    </row>
    <row r="20" spans="10:16" x14ac:dyDescent="0.15">
      <c r="J20" s="3" t="s">
        <v>209</v>
      </c>
      <c r="K20" s="3"/>
      <c r="O20" s="3" t="s">
        <v>210</v>
      </c>
      <c r="P20" s="3"/>
    </row>
    <row r="21" spans="10:16" x14ac:dyDescent="0.15">
      <c r="J21" s="3" t="s">
        <v>211</v>
      </c>
      <c r="K21" s="3"/>
      <c r="O21" s="3" t="s">
        <v>212</v>
      </c>
      <c r="P21" s="3"/>
    </row>
    <row r="22" spans="10:16" x14ac:dyDescent="0.15">
      <c r="J22" s="3" t="s">
        <v>213</v>
      </c>
      <c r="K22" s="3"/>
      <c r="O22" s="3" t="s">
        <v>214</v>
      </c>
      <c r="P22" s="3"/>
    </row>
    <row r="23" spans="10:16" x14ac:dyDescent="0.15">
      <c r="J23" s="3" t="s">
        <v>215</v>
      </c>
      <c r="K23" s="3"/>
      <c r="O23" s="3" t="s">
        <v>216</v>
      </c>
      <c r="P23" s="3"/>
    </row>
    <row r="24" spans="10:16" x14ac:dyDescent="0.15">
      <c r="J24" s="3" t="s">
        <v>217</v>
      </c>
      <c r="K24" s="3"/>
      <c r="O24" s="3" t="s">
        <v>218</v>
      </c>
      <c r="P24" s="3"/>
    </row>
    <row r="25" spans="10:16" x14ac:dyDescent="0.15">
      <c r="J25" s="3" t="s">
        <v>219</v>
      </c>
      <c r="K25" s="3"/>
      <c r="O25" s="3" t="s">
        <v>220</v>
      </c>
      <c r="P25" s="3"/>
    </row>
    <row r="26" spans="10:16" x14ac:dyDescent="0.15">
      <c r="J26" s="3" t="s">
        <v>221</v>
      </c>
      <c r="K26" s="3"/>
      <c r="O26" s="3" t="s">
        <v>222</v>
      </c>
      <c r="P26" s="3"/>
    </row>
    <row r="27" spans="10:16" x14ac:dyDescent="0.15">
      <c r="J27" s="3" t="s">
        <v>223</v>
      </c>
      <c r="K27" s="3"/>
      <c r="O27" s="3" t="s">
        <v>224</v>
      </c>
      <c r="P27" s="3"/>
    </row>
    <row r="28" spans="10:16" x14ac:dyDescent="0.15">
      <c r="J28" s="3" t="s">
        <v>225</v>
      </c>
      <c r="K28" s="3"/>
      <c r="O28" s="3" t="s">
        <v>226</v>
      </c>
      <c r="P28" s="3"/>
    </row>
    <row r="29" spans="10:16" x14ac:dyDescent="0.15">
      <c r="J29" s="3" t="s">
        <v>227</v>
      </c>
      <c r="K29" s="3"/>
      <c r="O29" s="3" t="s">
        <v>228</v>
      </c>
      <c r="P29" s="3"/>
    </row>
    <row r="30" spans="10:16" x14ac:dyDescent="0.15">
      <c r="J30" s="3" t="s">
        <v>229</v>
      </c>
      <c r="K30" s="3"/>
    </row>
    <row r="31" spans="10:16" x14ac:dyDescent="0.15">
      <c r="J31" s="3" t="s">
        <v>230</v>
      </c>
      <c r="K31" s="3"/>
    </row>
    <row r="32" spans="10:16" x14ac:dyDescent="0.15">
      <c r="J32" s="3" t="s">
        <v>231</v>
      </c>
      <c r="K32" s="3"/>
    </row>
    <row r="33" spans="10:16" x14ac:dyDescent="0.15">
      <c r="J33" s="3" t="s">
        <v>232</v>
      </c>
      <c r="K33" s="3"/>
    </row>
    <row r="34" spans="10:16" x14ac:dyDescent="0.15">
      <c r="J34" s="3" t="s">
        <v>233</v>
      </c>
    </row>
    <row r="35" spans="10:16" x14ac:dyDescent="0.15">
      <c r="J35" s="3" t="s">
        <v>234</v>
      </c>
    </row>
    <row r="36" spans="10:16" x14ac:dyDescent="0.15">
      <c r="J36" s="3" t="s">
        <v>235</v>
      </c>
    </row>
    <row r="37" spans="10:16" x14ac:dyDescent="0.15">
      <c r="J37" s="3" t="s">
        <v>236</v>
      </c>
    </row>
    <row r="38" spans="10:16" x14ac:dyDescent="0.15">
      <c r="J38" s="3" t="s">
        <v>237</v>
      </c>
    </row>
    <row r="39" spans="10:16" x14ac:dyDescent="0.15">
      <c r="J39" s="3" t="s">
        <v>238</v>
      </c>
    </row>
    <row r="40" spans="10:16" x14ac:dyDescent="0.15">
      <c r="J40" s="3" t="s">
        <v>239</v>
      </c>
    </row>
    <row r="41" spans="10:16" x14ac:dyDescent="0.15">
      <c r="J41" s="3" t="s">
        <v>240</v>
      </c>
    </row>
    <row r="42" spans="10:16" x14ac:dyDescent="0.15">
      <c r="J42" s="3" t="s">
        <v>241</v>
      </c>
    </row>
    <row r="43" spans="10:16" x14ac:dyDescent="0.15">
      <c r="J43" s="3" t="s">
        <v>242</v>
      </c>
      <c r="O43" s="19"/>
      <c r="P43" s="19"/>
    </row>
    <row r="44" spans="10:16" x14ac:dyDescent="0.15">
      <c r="J44" s="3"/>
      <c r="O44" s="19"/>
      <c r="P44" s="19"/>
    </row>
    <row r="45" spans="10:16" x14ac:dyDescent="0.15">
      <c r="J45" s="3"/>
      <c r="O45" s="19"/>
      <c r="P45" s="19"/>
    </row>
    <row r="46" spans="10:16" x14ac:dyDescent="0.15">
      <c r="O46" s="19"/>
      <c r="P46" s="19"/>
    </row>
    <row r="47" spans="10:16" x14ac:dyDescent="0.15">
      <c r="O47" s="19"/>
      <c r="P47" s="19"/>
    </row>
    <row r="48" spans="10:16" x14ac:dyDescent="0.15">
      <c r="O48" s="19"/>
      <c r="P48" s="19"/>
    </row>
    <row r="49" spans="15:16" x14ac:dyDescent="0.15">
      <c r="O49" s="19"/>
      <c r="P49" s="19"/>
    </row>
    <row r="50" spans="15:16" x14ac:dyDescent="0.15">
      <c r="O50" s="19"/>
      <c r="P50" s="19"/>
    </row>
    <row r="51" spans="15:16" x14ac:dyDescent="0.15">
      <c r="O51" s="19"/>
      <c r="P51" s="19"/>
    </row>
    <row r="52" spans="15:16" x14ac:dyDescent="0.15">
      <c r="O52" s="19"/>
      <c r="P52" s="19"/>
    </row>
    <row r="53" spans="15:16" x14ac:dyDescent="0.15">
      <c r="O53" s="19"/>
      <c r="P53" s="19"/>
    </row>
    <row r="54" spans="15:16" x14ac:dyDescent="0.15">
      <c r="O54" s="19"/>
      <c r="P54" s="19"/>
    </row>
    <row r="55" spans="15:16" x14ac:dyDescent="0.15">
      <c r="O55" s="19"/>
      <c r="P55" s="19"/>
    </row>
    <row r="56" spans="15:16" x14ac:dyDescent="0.15">
      <c r="O56" s="19"/>
      <c r="P56" s="19"/>
    </row>
    <row r="57" spans="15:16" x14ac:dyDescent="0.15">
      <c r="O57" s="19"/>
      <c r="P57" s="19"/>
    </row>
    <row r="58" spans="15:16" x14ac:dyDescent="0.15">
      <c r="O58" s="19"/>
      <c r="P58" s="19"/>
    </row>
    <row r="59" spans="15:16" x14ac:dyDescent="0.15">
      <c r="O59" s="19"/>
      <c r="P59" s="19"/>
    </row>
    <row r="60" spans="15:16" x14ac:dyDescent="0.15">
      <c r="O60" s="19"/>
      <c r="P60" s="19"/>
    </row>
    <row r="61" spans="15:16" x14ac:dyDescent="0.15">
      <c r="O61" s="19"/>
      <c r="P61" s="19"/>
    </row>
    <row r="62" spans="15:16" x14ac:dyDescent="0.15">
      <c r="O62" s="19"/>
      <c r="P62" s="19"/>
    </row>
    <row r="63" spans="15:16" x14ac:dyDescent="0.15">
      <c r="O63" s="19"/>
      <c r="P63" s="19"/>
    </row>
    <row r="64" spans="15:16" x14ac:dyDescent="0.15">
      <c r="O64" s="19"/>
      <c r="P64" s="19"/>
    </row>
    <row r="65" spans="15:16" x14ac:dyDescent="0.15">
      <c r="O65" s="19"/>
      <c r="P65" s="19"/>
    </row>
    <row r="66" spans="15:16" x14ac:dyDescent="0.15">
      <c r="O66" s="19"/>
      <c r="P66" s="19"/>
    </row>
    <row r="67" spans="15:16" x14ac:dyDescent="0.15">
      <c r="O67" s="19"/>
      <c r="P67" s="19"/>
    </row>
    <row r="68" spans="15:16" x14ac:dyDescent="0.15">
      <c r="O68" s="19"/>
      <c r="P68" s="19"/>
    </row>
    <row r="69" spans="15:16" x14ac:dyDescent="0.15">
      <c r="O69" s="19"/>
      <c r="P69" s="19"/>
    </row>
  </sheetData>
  <sheetProtection sheet="1" objects="1" scenarios="1"/>
  <phoneticPr fontId="12" type="noConversion"/>
  <pageMargins left="0.7" right="0.7" top="0.75" bottom="0.75" header="0.3" footer="0.3"/>
  <pageSetup paperSize="9" orientation="landscape" horizontalDpi="0" verticalDpi="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SharedWithUsers xmlns="e1b6460b-adfc-4e0b-b281-3e8538199596">
      <UserInfo>
        <DisplayName/>
        <AccountId xsi:nil="true"/>
        <AccountType/>
      </UserInfo>
    </SharedWithUsers>
    <TaxCatchAll xmlns="e1b6460b-adfc-4e0b-b281-3e8538199596" xsi:nil="true"/>
    <lcf76f155ced4ddcb4097134ff3c332f xmlns="6d8e63e8-a74c-4f03-a22b-d62808a8cebc">
      <Terms xmlns="http://schemas.microsoft.com/office/infopath/2007/PartnerControls"/>
    </lcf76f155ced4ddcb4097134ff3c332f>
    <MediaLengthInSeconds xmlns="6d8e63e8-a74c-4f03-a22b-d62808a8cebc" xsi:nil="true"/>
    <VersionNo_x002e_ xmlns="6d8e63e8-a74c-4f03-a22b-d62808a8cebc">1</VersionNo_x002e_>
    <VersionDate xmlns="6d8e63e8-a74c-4f03-a22b-d62808a8cebc">2024-03-26T19:45:21+00:00</VersionDat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5418B454C4AAC14F8BD35170AFD7B6A8" ma:contentTypeVersion="16" ma:contentTypeDescription="Create a new document." ma:contentTypeScope="" ma:versionID="85c952d4d04bcacc2ea81e30ee43082d">
  <xsd:schema xmlns:xsd="http://www.w3.org/2001/XMLSchema" xmlns:xs="http://www.w3.org/2001/XMLSchema" xmlns:p="http://schemas.microsoft.com/office/2006/metadata/properties" xmlns:ns2="6d8e63e8-a74c-4f03-a22b-d62808a8cebc" xmlns:ns3="e1b6460b-adfc-4e0b-b281-3e8538199596" targetNamespace="http://schemas.microsoft.com/office/2006/metadata/properties" ma:root="true" ma:fieldsID="d09d9a4678660e9a7f4ec7c3af5a4168" ns2:_="" ns3:_="">
    <xsd:import namespace="6d8e63e8-a74c-4f03-a22b-d62808a8cebc"/>
    <xsd:import namespace="e1b6460b-adfc-4e0b-b281-3e8538199596"/>
    <xsd:element name="properties">
      <xsd:complexType>
        <xsd:sequence>
          <xsd:element name="documentManagement">
            <xsd:complexType>
              <xsd:all>
                <xsd:element ref="ns2:MediaServiceMetadata" minOccurs="0"/>
                <xsd:element ref="ns2:MediaServiceFastMetadata" minOccurs="0"/>
                <xsd:element ref="ns2:VersionNo_x002e_" minOccurs="0"/>
                <xsd:element ref="ns2:VersionDate" minOccurs="0"/>
                <xsd:element ref="ns3:SharedWithUsers" minOccurs="0"/>
                <xsd:element ref="ns3:SharedWithDetails" minOccurs="0"/>
                <xsd:element ref="ns2:MediaServiceDateTaken" minOccurs="0"/>
                <xsd:element ref="ns2:MediaLengthInSecond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d8e63e8-a74c-4f03-a22b-d62808a8ceb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VersionNo_x002e_" ma:index="10" nillable="true" ma:displayName="Version No." ma:decimals="1" ma:default="1" ma:format="Dropdown" ma:internalName="VersionNo_x002e_" ma:percentage="FALSE">
      <xsd:simpleType>
        <xsd:restriction base="dms:Number"/>
      </xsd:simpleType>
    </xsd:element>
    <xsd:element name="VersionDate" ma:index="11" nillable="true" ma:displayName="Version Date" ma:default="[today]" ma:format="DateOnly" ma:internalName="VersionDate">
      <xsd:simpleType>
        <xsd:restriction base="dms:DateTime"/>
      </xsd:simpleType>
    </xsd:element>
    <xsd:element name="MediaServiceDateTaken" ma:index="14" nillable="true" ma:displayName="MediaServiceDateTaken" ma:hidden="true" ma:internalName="MediaServiceDateTaken"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aa27f011-1a9c-4bbb-bffd-f61e666ec8a0"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MediaServiceGenerationTime" ma:index="20" nillable="true" ma:displayName="MediaServiceGenerationTime" ma:hidden="true" ma:internalName="MediaServiceGenerationTime" ma:readOnly="true">
      <xsd:simpleType>
        <xsd:restriction base="dms:Text"/>
      </xsd:simpleType>
    </xsd:element>
    <xsd:element name="MediaServiceEventHashCode" ma:index="21" nillable="true" ma:displayName="MediaServiceEventHashCode" ma:hidden="true" ma:internalName="MediaServiceEventHashCode" ma:readOnly="true">
      <xsd:simpleType>
        <xsd:restriction base="dms:Text"/>
      </xsd:simple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e1b6460b-adfc-4e0b-b281-3e8538199596"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18" nillable="true" ma:displayName="Taxonomy Catch All Column" ma:hidden="true" ma:list="{04251964-6e24-48ff-a53c-08415a33c384}" ma:internalName="TaxCatchAll" ma:showField="CatchAllData" ma:web="e1b6460b-adfc-4e0b-b281-3e853819959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BF6C435-CFF1-48AD-9106-7931FE0EF8DB}">
  <ds:schemaRefs>
    <ds:schemaRef ds:uri="http://schemas.microsoft.com/sharepoint/v3/contenttype/forms"/>
  </ds:schemaRefs>
</ds:datastoreItem>
</file>

<file path=customXml/itemProps2.xml><?xml version="1.0" encoding="utf-8"?>
<ds:datastoreItem xmlns:ds="http://schemas.openxmlformats.org/officeDocument/2006/customXml" ds:itemID="{48784B58-2687-4156-A436-2B0DF317243C}">
  <ds:schemaRefs>
    <ds:schemaRef ds:uri="http://schemas.microsoft.com/office/2006/metadata/properties"/>
    <ds:schemaRef ds:uri="http://schemas.microsoft.com/office/infopath/2007/PartnerControls"/>
    <ds:schemaRef ds:uri="e1b6460b-adfc-4e0b-b281-3e8538199596"/>
    <ds:schemaRef ds:uri="6d8e63e8-a74c-4f03-a22b-d62808a8cebc"/>
  </ds:schemaRefs>
</ds:datastoreItem>
</file>

<file path=customXml/itemProps3.xml><?xml version="1.0" encoding="utf-8"?>
<ds:datastoreItem xmlns:ds="http://schemas.openxmlformats.org/officeDocument/2006/customXml" ds:itemID="{8F18C5CD-82A0-43A6-B711-8055EE91418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d8e63e8-a74c-4f03-a22b-d62808a8cebc"/>
    <ds:schemaRef ds:uri="e1b6460b-adfc-4e0b-b281-3e853819959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2</vt:i4>
      </vt:variant>
      <vt:variant>
        <vt:lpstr>Named Ranges</vt:lpstr>
      </vt:variant>
      <vt:variant>
        <vt:i4>24</vt:i4>
      </vt:variant>
    </vt:vector>
  </HeadingPairs>
  <TitlesOfParts>
    <vt:vector size="26" baseType="lpstr">
      <vt:lpstr>Declaration - Research Grants</vt:lpstr>
      <vt:lpstr>List</vt:lpstr>
      <vt:lpstr>CATEGORY</vt:lpstr>
      <vt:lpstr>'Declaration - Research Grants'!CONTRACT_BASIS</vt:lpstr>
      <vt:lpstr>'Declaration - Research Grants'!CONTRACTED_HOURS</vt:lpstr>
      <vt:lpstr>'Declaration - Research Grants'!CRSID</vt:lpstr>
      <vt:lpstr>'Declaration - Research Grants'!EMPLOYEE_NAME</vt:lpstr>
      <vt:lpstr>EU_FUNDERS</vt:lpstr>
      <vt:lpstr>HOURS</vt:lpstr>
      <vt:lpstr>LEAVE</vt:lpstr>
      <vt:lpstr>'Declaration - Research Grants'!MANAGER</vt:lpstr>
      <vt:lpstr>Month</vt:lpstr>
      <vt:lpstr>NON_PROJECT_HOURS</vt:lpstr>
      <vt:lpstr>NON_PROJECT_WORK</vt:lpstr>
      <vt:lpstr>OTHER_FUNDERS</vt:lpstr>
      <vt:lpstr>'Declaration - Research Grants'!PERCENT_FTE</vt:lpstr>
      <vt:lpstr>'Declaration - Research Grants'!POST</vt:lpstr>
      <vt:lpstr>'Declaration - Research Grants'!Print_Area</vt:lpstr>
      <vt:lpstr>ROLE</vt:lpstr>
      <vt:lpstr>TASK</vt:lpstr>
      <vt:lpstr>'Declaration - Research Grants'!TS_START_MONTH</vt:lpstr>
      <vt:lpstr>'Declaration - Research Grants'!TS_YEAR_START</vt:lpstr>
      <vt:lpstr>UKRI</vt:lpstr>
      <vt:lpstr>USFED</vt:lpstr>
      <vt:lpstr>WP</vt:lpstr>
      <vt:lpstr>Year</vt:lpstr>
    </vt:vector>
  </TitlesOfParts>
  <Manager/>
  <Company>University of Cambridge</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University of Cambridge timesheet for staff part-funded by a research grant</dc:subject>
  <dc:creator>Heather Booth</dc:creator>
  <cp:keywords/>
  <dc:description/>
  <cp:lastModifiedBy>Martin Santamarina</cp:lastModifiedBy>
  <cp:revision/>
  <dcterms:created xsi:type="dcterms:W3CDTF">2010-11-01T14:32:58Z</dcterms:created>
  <dcterms:modified xsi:type="dcterms:W3CDTF">2025-07-02T09:53:07Z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0x0101005418B454C4AAC14F8BD35170AFD7B6A8</vt:lpwstr>
  </property>
  <property fmtid="{D5CDD505-2E9C-101B-9397-08002B2CF9AE}" pid="3" name="Order">
    <vt:r8>582600</vt:r8>
  </property>
  <property fmtid="{D5CDD505-2E9C-101B-9397-08002B2CF9AE}" pid="4" name="_ExtendedDescription">
    <vt:lpwstr/>
  </property>
  <property fmtid="{D5CDD505-2E9C-101B-9397-08002B2CF9AE}" pid="5" name="TriggerFlowInfo">
    <vt:lpwstr/>
  </property>
  <property fmtid="{D5CDD505-2E9C-101B-9397-08002B2CF9AE}" pid="6" name="ComplianceAssetId">
    <vt:lpwstr/>
  </property>
  <property fmtid="{D5CDD505-2E9C-101B-9397-08002B2CF9AE}" pid="7" name="MediaServiceImageTags">
    <vt:lpwstr/>
  </property>
  <property fmtid="{D5CDD505-2E9C-101B-9397-08002B2CF9AE}" pid="8" name="xd_Signature">
    <vt:bool>false</vt:bool>
  </property>
  <property fmtid="{D5CDD505-2E9C-101B-9397-08002B2CF9AE}" pid="9" name="xd_ProgID">
    <vt:lpwstr/>
  </property>
  <property fmtid="{D5CDD505-2E9C-101B-9397-08002B2CF9AE}" pid="10" name="TemplateUrl">
    <vt:lpwstr/>
  </property>
</Properties>
</file>